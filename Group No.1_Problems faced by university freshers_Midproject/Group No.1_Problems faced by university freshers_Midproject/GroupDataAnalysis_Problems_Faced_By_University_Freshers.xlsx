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DATA\BSCS\Semester 1 Resources\AICT Lab\Mid Project\"/>
    </mc:Choice>
  </mc:AlternateContent>
  <bookViews>
    <workbookView xWindow="0" yWindow="0" windowWidth="20490" windowHeight="7770"/>
  </bookViews>
  <sheets>
    <sheet name="Form Responses " sheetId="1" r:id="rId1"/>
  </sheets>
  <definedNames>
    <definedName name="_xlnm._FilterDatabase" localSheetId="0" hidden="1">'Form Responses '!$A$1:$Z$1</definedName>
  </definedNames>
  <calcPr calcId="162913"/>
</workbook>
</file>

<file path=xl/calcChain.xml><?xml version="1.0" encoding="utf-8"?>
<calcChain xmlns="http://schemas.openxmlformats.org/spreadsheetml/2006/main">
  <c r="W37" i="1" l="1"/>
  <c r="W38" i="1"/>
  <c r="W41" i="1"/>
  <c r="W42" i="1"/>
  <c r="V35" i="1"/>
  <c r="W35" i="1" s="1"/>
  <c r="V36" i="1"/>
  <c r="W36" i="1" s="1"/>
  <c r="V37" i="1"/>
  <c r="V38" i="1"/>
  <c r="V39" i="1"/>
  <c r="W39" i="1" s="1"/>
  <c r="V40" i="1"/>
  <c r="W40" i="1" s="1"/>
  <c r="V41" i="1"/>
  <c r="V42" i="1"/>
  <c r="V43" i="1"/>
  <c r="W43" i="1" s="1"/>
  <c r="V34" i="1"/>
  <c r="W34" i="1" s="1"/>
  <c r="U21" i="1"/>
  <c r="V21" i="1" s="1"/>
  <c r="U22" i="1"/>
  <c r="V22" i="1" s="1"/>
  <c r="U23" i="1"/>
  <c r="V23" i="1" s="1"/>
  <c r="U24" i="1"/>
  <c r="V24" i="1" s="1"/>
  <c r="U20" i="1"/>
  <c r="V20" i="1" s="1"/>
  <c r="U5" i="1"/>
  <c r="V5" i="1" s="1"/>
  <c r="U6" i="1"/>
  <c r="V6" i="1" s="1"/>
  <c r="U11" i="1"/>
  <c r="V11" i="1" s="1"/>
  <c r="U7" i="1"/>
  <c r="V7" i="1" s="1"/>
  <c r="U12" i="1"/>
  <c r="V12" i="1" s="1"/>
  <c r="U9" i="1"/>
  <c r="V9" i="1" s="1"/>
  <c r="U10" i="1"/>
  <c r="V10" i="1" s="1"/>
  <c r="U8" i="1"/>
  <c r="V8" i="1" s="1"/>
</calcChain>
</file>

<file path=xl/sharedStrings.xml><?xml version="1.0" encoding="utf-8"?>
<sst xmlns="http://schemas.openxmlformats.org/spreadsheetml/2006/main" count="521" uniqueCount="244">
  <si>
    <t>Timestamp</t>
  </si>
  <si>
    <t>Email Address</t>
  </si>
  <si>
    <t>1140-1200</t>
  </si>
  <si>
    <t>Administrative or university management problems</t>
  </si>
  <si>
    <t>Psychological or emotional stress</t>
  </si>
  <si>
    <t>Teaching Style &amp; Understanding: Difficulty understanding lectures, fast teaching pace or unclear explanations, language barriers (English or technical terms).</t>
  </si>
  <si>
    <t>Facilities: Poor library, Wi-Fi, or lab access.</t>
  </si>
  <si>
    <t>Homesickness: Missing family and home environment.</t>
  </si>
  <si>
    <t>Cultural Adjustment: Adapting to diverse backgrounds, accents, or lifestyles.</t>
  </si>
  <si>
    <t>Part-Time Work: Difficulty balancing job and studies.</t>
  </si>
  <si>
    <t>Commuting: Long travel times or poor transport.</t>
  </si>
  <si>
    <t>Future Anxiety: Fear of unemployment or uncertain job market.</t>
  </si>
  <si>
    <t>Mental Health: Depression, burnout, or chronic stress.</t>
  </si>
  <si>
    <t xml:space="preserve">Huda </t>
  </si>
  <si>
    <t>1080-1139</t>
  </si>
  <si>
    <t>Social &amp; Interpersonal Problems</t>
  </si>
  <si>
    <t>Stress &amp; Anxiety: Pressure to perform well academically, fear of failure or letting family down.</t>
  </si>
  <si>
    <t>Making Friends: Shyness or social anxiety, difficulty finding like-minded peers.</t>
  </si>
  <si>
    <t>Tuition Fees: High or rising costs of education.</t>
  </si>
  <si>
    <t>Hostel Conditions: Poor hygiene, lack of facilities, or overcrowding.</t>
  </si>
  <si>
    <t>Khud intelligent hai yeh .inhy zarorat nhi .PHD holder hai phir hi ham hi btaye inko.</t>
  </si>
  <si>
    <t>No</t>
  </si>
  <si>
    <t>hudashahid911@gmail.com</t>
  </si>
  <si>
    <t xml:space="preserve">Muhammad Sheharyar </t>
  </si>
  <si>
    <t>Academic problems</t>
  </si>
  <si>
    <t>Study Skills: Poor time management, struggle with note-taking or research work, difficulty adapting from rote learning to conceptual learning.</t>
  </si>
  <si>
    <t>Information &amp; Guidance: Lack of clarity about rules or procedures, poor orientation or advising system.</t>
  </si>
  <si>
    <t>Peer Pressure: Pressure to fit in or behave a certain way.</t>
  </si>
  <si>
    <t>Career Guidance: Lack of counseling or information about career options.</t>
  </si>
  <si>
    <t>Sleep &amp; Nutrition: Poor eating habits or irregular sleep.</t>
  </si>
  <si>
    <t>I suggest that increase opportunities for students and poor conditions of hostel will be improved.</t>
  </si>
  <si>
    <t>msheharyar1885@gmail.com</t>
  </si>
  <si>
    <t>Manahil Umar</t>
  </si>
  <si>
    <t>Academic problems, Administrative or university management problems, Psychological or emotional stress</t>
  </si>
  <si>
    <t>Study Skills: Poor time management, struggle with note-taking or research work, difficulty adapting from rote learning to conceptual learning., Course Load: Too many subjects or assignments at once, lack of balance between theory and practical work.</t>
  </si>
  <si>
    <t>Information &amp; Guidance: Lack of clarity about rules or procedures, poor orientation or advising system., Departmental Communication: Difficulty reaching teachers or office staff., Registration &amp; Timetabling: Complex course registration or schedule clashes.</t>
  </si>
  <si>
    <t>Tuition Fees: High or rising costs of education., Books &amp; Supplies: Cost of study materials or gadgets.</t>
  </si>
  <si>
    <t>Career Guidance: Lack of counseling or information about career options., Self-Doubt: Unclear about whether the chosen field suits them.</t>
  </si>
  <si>
    <t>Sleep &amp; Nutrition: Poor eating habits or irregular sleep., Mental Health: Depression, burnout, or chronic stress.</t>
  </si>
  <si>
    <t xml:space="preserve">To solve these problems, must  convey these issues to the concerned dept
N ask them to take actions immediately 
" Might is right" so we have to become might </t>
  </si>
  <si>
    <t>manahilumar2005@gmail.com</t>
  </si>
  <si>
    <t xml:space="preserve">Misbah Khalid </t>
  </si>
  <si>
    <t>Living Expenses: Hostel, rent, food, transportation.</t>
  </si>
  <si>
    <t>Pf k tchrs change krdo</t>
  </si>
  <si>
    <t>amanmisbah350@gmail.com</t>
  </si>
  <si>
    <t xml:space="preserve">Abdullah Mustafa </t>
  </si>
  <si>
    <t>1020-1079</t>
  </si>
  <si>
    <t>Academic problems, Accommodation or hostel-related issues</t>
  </si>
  <si>
    <t>Making Friends: Shyness or social anxiety, difficulty finding like-minded peers., Peer Pressure: Pressure to fit in or behave a certain way.</t>
  </si>
  <si>
    <t>Hostel Conditions: Poor hygiene, lack of facilities, or overcrowding., Food &amp; Health: Poor quality or limited food options, falling sick due to new environment.</t>
  </si>
  <si>
    <t>Sleep &amp; Nutrition: Poor eating habits or irregular sleep., Physical Fitness: Lack of exercise or unhealthy routines.</t>
  </si>
  <si>
    <t>There should be guidance related to the assignment and computer submition system for freshers.</t>
  </si>
  <si>
    <t>abd211224@gmail.com</t>
  </si>
  <si>
    <t>Shahram Ali Butt</t>
  </si>
  <si>
    <t>960-1019</t>
  </si>
  <si>
    <t>Course Load: Too many subjects or assignments at once, lack of balance between theory and practical work.</t>
  </si>
  <si>
    <t>Registration &amp; Timetabling: Complex course registration or schedule clashes.</t>
  </si>
  <si>
    <t>Less academic stress, Better Guidance about assessment system at University level</t>
  </si>
  <si>
    <t>shahramalibutt@gmail.com</t>
  </si>
  <si>
    <t xml:space="preserve">Amna Arshad </t>
  </si>
  <si>
    <t>Academic problems, Psychological or emotional stress</t>
  </si>
  <si>
    <t>Teaching Style &amp; Understanding: Difficulty understanding lectures, fast teaching pace or unclear explanations, language barriers (English or technical terms)., Course Load: Too many subjects or assignments at once, lack of balance between theory and practical work.</t>
  </si>
  <si>
    <t>Stress &amp; Anxiety: Pressure to perform well academically, fear of failure or letting family down., Loneliness &amp; Isolation: Feeling disconnected or left out.</t>
  </si>
  <si>
    <t>Food &amp; Health: Poor quality or limited food options, falling sick due to new environment.</t>
  </si>
  <si>
    <t xml:space="preserve">Teachers should be more clear about what they teach and about the assignments And appropriate amount of time should be given to do the tasks </t>
  </si>
  <si>
    <t>ammzfine007@gmail.com</t>
  </si>
  <si>
    <t>Amina Kmaran</t>
  </si>
  <si>
    <t>Academic problems, Psychological or emotional stress, Social &amp; Interpersonal Problems</t>
  </si>
  <si>
    <t>Study Skills: Poor time management, struggle with note-taking or research work, difficulty adapting from rote learning to conceptual learning., Assessment &amp; Exams: Unclear grading system, exam anxiety or poor exam preparation., Course Load: Too many subjects or assignments at once, lack of balance between theory and practical work.</t>
  </si>
  <si>
    <t>Stress &amp; Anxiety: Pressure to perform well academically, fear of failure or letting family down., Self-Esteem Issues: Comparing oneself with others, feeling not good enough for university standards.</t>
  </si>
  <si>
    <t>Career Guidance: Lack of counseling or information about career options., Future Anxiety: Fear of unemployment or uncertain job market.</t>
  </si>
  <si>
    <t xml:space="preserve">Proper academic guidance and time management training should be provided to reduce study pressure. </t>
  </si>
  <si>
    <t>aminakamran916@gmail.com</t>
  </si>
  <si>
    <t xml:space="preserve">Shahmeer Khan </t>
  </si>
  <si>
    <t>Departmental Communication: Difficulty reaching teachers or office staff., Registration &amp; Timetabling: Complex course registration or schedule clashes., Facilities: Poor library, Wi-Fi, or lab access.</t>
  </si>
  <si>
    <t>Homesickness: Missing family and home environment., Loneliness &amp; Isolation: Feeling disconnected or left out., Self-Esteem Issues: Comparing oneself with others, feeling not good enough for university standards.</t>
  </si>
  <si>
    <t>Making Friends: Shyness or social anxiety, difficulty finding like-minded peers., Peer Pressure: Pressure to fit in or behave a certain way., Cultural Adjustment: Adapting to diverse backgrounds, accents, or lifestyles.</t>
  </si>
  <si>
    <t>Tuition Fees: High or rising costs of education., Books &amp; Supplies: Cost of study materials or gadgets., Part-Time Work: Difficulty balancing job and studies.</t>
  </si>
  <si>
    <t>Self-Doubt: Unclear about whether the chosen field suits them.</t>
  </si>
  <si>
    <t>Physical Fitness: Lack of exercise or unhealthy routines.</t>
  </si>
  <si>
    <t>University system must be updated and changes must be made to facilitate students.University system is very poor and there is almost no facility that are provided to the students.</t>
  </si>
  <si>
    <t>shahmeerkhan98344@gmail.com</t>
  </si>
  <si>
    <t xml:space="preserve">Tayyaba </t>
  </si>
  <si>
    <t>Academic problems, Psychological or emotional stress, Career or future uncertainty, Health and lifestyle issues</t>
  </si>
  <si>
    <t>Teaching Style &amp; Understanding: Difficulty understanding lectures, fast teaching pace or unclear explanations, language barriers (English or technical terms)., Study Skills: Poor time management, struggle with note-taking or research work, difficulty adapting from rote learning to conceptual learning., Course Load: Too many subjects or assignments at once, lack of balance between theory and practical work.</t>
  </si>
  <si>
    <t>Information &amp; Guidance: Lack of clarity about rules or procedures, poor orientation or advising system., Registration &amp; Timetabling: Complex course registration or schedule clashes., Facilities: Poor library, Wi-Fi, or lab access.</t>
  </si>
  <si>
    <t>Tuition Fees: High or rising costs of education., Part-Time Work: Difficulty balancing job and studies.</t>
  </si>
  <si>
    <t>Self-Doubt: Unclear about whether the chosen field suits them., Future Anxiety: Fear of unemployment or uncertain job market.</t>
  </si>
  <si>
    <t>Work load should be less and teachers should be teaching and not guiding us.</t>
  </si>
  <si>
    <t>syedatayyaba.48@gmail.com</t>
  </si>
  <si>
    <t>Shzad</t>
  </si>
  <si>
    <t>Academic problems, Career or future uncertainty</t>
  </si>
  <si>
    <t>Career or future uncertainty</t>
  </si>
  <si>
    <t>Tuition Fees: High or rising costs of education., Living Expenses: Hostel, rent, food, transportation., Part-Time Work: Difficulty balancing job and studies.</t>
  </si>
  <si>
    <t>Physical Fitness: Lack of exercise or unhealthy routines., Mental Health: Depression, burnout, or chronic stress.</t>
  </si>
  <si>
    <t xml:space="preserve">Focus on physical activities for fitness and events for entertainment and must prepare students about career </t>
  </si>
  <si>
    <t>Entertaining activities</t>
  </si>
  <si>
    <t>shazadshazadnazir@gmail.com</t>
  </si>
  <si>
    <t xml:space="preserve">Muhammad Salahuddin </t>
  </si>
  <si>
    <t>Hostel Conditions: Poor hygiene, lack of facilities, or overcrowding., Food &amp; Health: Poor quality or limited food options, falling sick due to new environment., Roommates: Conflicts or personality mismatches.</t>
  </si>
  <si>
    <t>The University management and faculty must show some kind of leniency towards students as they already struggle with the new environment and the management put an undue stress on their minds.</t>
  </si>
  <si>
    <t>msalahudin441@gmail.com</t>
  </si>
  <si>
    <t xml:space="preserve">Hisban Ahmad </t>
  </si>
  <si>
    <t>Accommodation or hostel-related issues</t>
  </si>
  <si>
    <t>Departmental Communication: Difficulty reaching teachers or office staff.</t>
  </si>
  <si>
    <t>Making Friends: Shyness or social anxiety, difficulty finding like-minded peers., Interaction with Seniors: Ragging, bullying, or intimidation.</t>
  </si>
  <si>
    <t>IDK</t>
  </si>
  <si>
    <t xml:space="preserve">No comments </t>
  </si>
  <si>
    <t>hisbanhamdan2020@gmail.com</t>
  </si>
  <si>
    <t>Muhammad Hassan Qasim Khan</t>
  </si>
  <si>
    <t>900-959</t>
  </si>
  <si>
    <t>Information &amp; Guidance: Lack of clarity about rules or procedures, poor orientation or advising system., Registration &amp; Timetabling: Complex course registration or schedule clashes.</t>
  </si>
  <si>
    <t>Self-Esteem Issues: Comparing oneself with others, feeling not good enough for university standards.</t>
  </si>
  <si>
    <t>University Management should be improved</t>
  </si>
  <si>
    <t>hqk4827@gmail.com</t>
  </si>
  <si>
    <t xml:space="preserve">Muhammad Bilal </t>
  </si>
  <si>
    <t>Social &amp; Interpersonal Problems, Health and lifestyle issues</t>
  </si>
  <si>
    <t>Health and lifestyle issues</t>
  </si>
  <si>
    <t>Living Expenses: Hostel, rent, food, transportation., Books &amp; Supplies: Cost of study materials or gadgets.</t>
  </si>
  <si>
    <t>Food &amp; Health: Poor quality or limited food options, falling sick due to new environment., Commuting: Long travel times or poor transport.</t>
  </si>
  <si>
    <t xml:space="preserve">Making good schedules to manage everything. </t>
  </si>
  <si>
    <t>bilalramzan561@gmail.com</t>
  </si>
  <si>
    <t>Muhammad Zulqarnain Kamal</t>
  </si>
  <si>
    <t>Academic problems, Financial problems, Accommodation or hostel-related issues, Career or future uncertainty</t>
  </si>
  <si>
    <t>Registration &amp; Timetabling: Complex course registration or schedule clashes., Facilities: Poor library, Wi-Fi, or lab access.</t>
  </si>
  <si>
    <t>Only those subjects must be taught those can add value in student's career like the complex and deep physics (MWM) must not be taught to Computer Engineering,CS,AI,Cys students.</t>
  </si>
  <si>
    <t>Only those subjects must be taught those can add value in student's career like the complex and deep physics (MWM) must not be taught to Computer Engineering,CS,AI,Cys students.
And only overview of non-valuable subject is enough for basic understanding.</t>
  </si>
  <si>
    <t>malikzulqar416@gmail.com</t>
  </si>
  <si>
    <t xml:space="preserve">Muhammad Haseeb </t>
  </si>
  <si>
    <t>Assessment &amp; Exams: Unclear grading system, exam anxiety or poor exam preparation.</t>
  </si>
  <si>
    <t>University hostels must concern about student mental piece and comfort. 
Management of uni should create a balance between assignments and workload</t>
  </si>
  <si>
    <t xml:space="preserve">Net issues and hostel food should be improved. </t>
  </si>
  <si>
    <t>rana124haseeb@gmail.com</t>
  </si>
  <si>
    <t>Owais</t>
  </si>
  <si>
    <t>Ok</t>
  </si>
  <si>
    <t>owaisashfaq572@gmail.com</t>
  </si>
  <si>
    <t>Zeeshan Ahmad</t>
  </si>
  <si>
    <t>Academic problems, Administrative or university management problems</t>
  </si>
  <si>
    <t>Teaching Style &amp; Understanding: Difficulty understanding lectures, fast teaching pace or unclear explanations, language barriers (English or technical terms)., Study Skills: Poor time management, struggle with note-taking or research work, difficulty adapting from rote learning to conceptual learning.</t>
  </si>
  <si>
    <t>Improve management, teachers should give more chances to students, students should be free to ask any question. Ending the rat race system.</t>
  </si>
  <si>
    <t>zeegcmspak@gmail.com</t>
  </si>
  <si>
    <t xml:space="preserve">Muhammad Usman </t>
  </si>
  <si>
    <t>Roommates: Conflicts or personality mismatches.</t>
  </si>
  <si>
    <t xml:space="preserve">Everything </t>
  </si>
  <si>
    <t>No comments</t>
  </si>
  <si>
    <t>usmanasif3536@gmail.com</t>
  </si>
  <si>
    <t xml:space="preserve">Hussain Aftab </t>
  </si>
  <si>
    <t>Psychological or emotional stress, Financial problems, Health and lifestyle issues</t>
  </si>
  <si>
    <t>1.Make a better class timetable
2.Teachers should give a clear task rather than giving complete exercise as a work because this dampens the creative thinking
3.Offer more events (Events are almost non-existent in UET)</t>
  </si>
  <si>
    <t>UET is a good place to study but it should organize more extra curricular activities
It should give its students the confidence that they have come to the right place</t>
  </si>
  <si>
    <t>oghussain63@gmail.com</t>
  </si>
  <si>
    <t>Muhammad Haseeb</t>
  </si>
  <si>
    <t>Academic problems, Financial problems, Career or future uncertainty, Health and lifestyle issues</t>
  </si>
  <si>
    <t>Information &amp; Guidance: Lack of clarity about rules or procedures, poor orientation or advising system., Departmental Communication: Difficulty reaching teachers or office staff., Facilities: Poor library, Wi-Fi, or lab access.</t>
  </si>
  <si>
    <t>Stress &amp; Anxiety: Pressure to perform well academically, fear of failure or letting family down., Loneliness &amp; Isolation: Feeling disconnected or left out., Self-Esteem Issues: Comparing oneself with others, feeling not good enough for university standards.</t>
  </si>
  <si>
    <t>Peer Pressure: Pressure to fit in or behave a certain way., Interaction with Seniors: Ragging, bullying, or intimidation., Cultural Adjustment: Adapting to diverse backgrounds, accents, or lifestyles.</t>
  </si>
  <si>
    <t>Hostel Conditions: Poor hygiene, lack of facilities, or overcrowding., Food &amp; Health: Poor quality or limited food options, falling sick due to new environment., Commuting: Long travel times or poor transport.</t>
  </si>
  <si>
    <t xml:space="preserve">No
</t>
  </si>
  <si>
    <t>khanzrider777@gmail.com</t>
  </si>
  <si>
    <t xml:space="preserve">Yameen Chaudhary </t>
  </si>
  <si>
    <t>Books &amp; Supplies: Cost of study materials or gadgets.</t>
  </si>
  <si>
    <t xml:space="preserve">Nothing </t>
  </si>
  <si>
    <t>yameen.ch66e@gmail.com</t>
  </si>
  <si>
    <t>Muhammad Moaaz</t>
  </si>
  <si>
    <t>Academic problems, Administrative or university management problems, Psychological or emotional stress, Social &amp; Interpersonal Problems, Financial problems, Accommodation or hostel-related issues, Career or future uncertainty</t>
  </si>
  <si>
    <t>Get a better staff, management and administration that listens to the Students</t>
  </si>
  <si>
    <t>ishaaqthekickassdaar@gmail.com</t>
  </si>
  <si>
    <t xml:space="preserve">Sohaib hassan </t>
  </si>
  <si>
    <t>Loneliness &amp; Isolation: Feeling disconnected or left out.</t>
  </si>
  <si>
    <t>Beleive in allah</t>
  </si>
  <si>
    <t>sabi1032420@gmail.com</t>
  </si>
  <si>
    <t>Abubakar</t>
  </si>
  <si>
    <t>Academic problems, Administrative or university management problems, Social &amp; Interpersonal Problems</t>
  </si>
  <si>
    <t>Teaching Style &amp; Understanding: Difficulty understanding lectures, fast teaching pace or unclear explanations, language barriers (English or technical terms)., Assessment &amp; Exams: Unclear grading system, exam anxiety or poor exam preparation., Course Load: Too many subjects or assignments at once, lack of balance between theory and practical work.</t>
  </si>
  <si>
    <t>Information &amp; Guidance: Lack of clarity about rules or procedures, poor orientation or advising system., Departmental Communication: Difficulty reaching teachers or office staff.</t>
  </si>
  <si>
    <t>Reduce the Course load on students because they are not well known with this system and may feel difficulty and can lose their motivation.</t>
  </si>
  <si>
    <t>Nill</t>
  </si>
  <si>
    <t>justtotest7878@gmail.com</t>
  </si>
  <si>
    <t>Shoaib</t>
  </si>
  <si>
    <t>Administrative or university management problems, Psychological or emotional stress</t>
  </si>
  <si>
    <t xml:space="preserve">Give proper guidance </t>
  </si>
  <si>
    <t>missionff69@gmail.com</t>
  </si>
  <si>
    <t xml:space="preserve">Ali Akram </t>
  </si>
  <si>
    <t>Financial problems</t>
  </si>
  <si>
    <t>Stress &amp; Anxiety: Pressure to perform well academically, fear of failure or letting family down., Homesickness: Missing family and home environment.</t>
  </si>
  <si>
    <t xml:space="preserve">Hostels are very poor </t>
  </si>
  <si>
    <t>ali.akram.dev@gmail.com</t>
  </si>
  <si>
    <t xml:space="preserve">AKHUNZADA SHOAIB KHAN </t>
  </si>
  <si>
    <t>Psychological or emotional stress, Social &amp; Interpersonal Problems, Financial problems, Accommodation or hostel-related issues, Career or future uncertainty</t>
  </si>
  <si>
    <t>Family problems</t>
  </si>
  <si>
    <t>Departmental Communication: Difficulty reaching teachers or office staff., Registration &amp; Timetabling: Complex course registration or schedule clashes.</t>
  </si>
  <si>
    <t>the main reason is stress and poor sleeping rather it's due to study or family maters</t>
  </si>
  <si>
    <t>Give you best and enjoy your life 💗</t>
  </si>
  <si>
    <t>loveguru09912@gmail.com</t>
  </si>
  <si>
    <t xml:space="preserve">Mamoona Javed </t>
  </si>
  <si>
    <t>There must be good jobs for us cause if we know that our struggle will be rewarded in future then we can study enthusiastically.</t>
  </si>
  <si>
    <t xml:space="preserve">Proper counselling must be given to freshers </t>
  </si>
  <si>
    <t>mamoonajaved04@gmail.com</t>
  </si>
  <si>
    <t xml:space="preserve">Muhammad Abdullah </t>
  </si>
  <si>
    <t>Academic problems, Administrative or university management problems, Psychological or emotional stress, Social &amp; Interpersonal Problems, Financial problems, Accommodation or hostel-related issues, Career or future uncertainty, Health and lifestyle issues</t>
  </si>
  <si>
    <t>Teaching Style &amp; Understanding: Difficulty understanding lectures, fast teaching pace or unclear explanations, language barriers (English or technical terms)., Study Skills: Poor time management, struggle with note-taking or research work, difficulty adapting from rote learning to conceptual learning., Assessment &amp; Exams: Unclear grading system, exam anxiety or poor exam preparation.</t>
  </si>
  <si>
    <t>Stress &amp; Anxiety: Pressure to perform well academically, fear of failure or letting family down., Homesickness: Missing family and home environment., Loneliness &amp; Isolation: Feeling disconnected or left out.</t>
  </si>
  <si>
    <t>Making Friends: Shyness or social anxiety, difficulty finding like-minded peers., Peer Pressure: Pressure to fit in or behave a certain way., Interaction with Seniors: Ragging, bullying, or intimidation.</t>
  </si>
  <si>
    <t>Tuition Fees: High or rising costs of education., Living Expenses: Hostel, rent, food, transportation., Books &amp; Supplies: Cost of study materials or gadgets.</t>
  </si>
  <si>
    <t>Chatgpt is the only way out</t>
  </si>
  <si>
    <t>Allow us use chatgpt</t>
  </si>
  <si>
    <t>itzincrediblez@gmail.com</t>
  </si>
  <si>
    <t>Awais</t>
  </si>
  <si>
    <t xml:space="preserve">Communication between students and faculty </t>
  </si>
  <si>
    <t>awaisstyleonly@gmail.com</t>
  </si>
  <si>
    <t>Stress</t>
  </si>
  <si>
    <t>Health and Lifestyle Problems</t>
  </si>
  <si>
    <t>Career &amp; Future Uncertainty</t>
  </si>
  <si>
    <t>Financial Problems</t>
  </si>
  <si>
    <t>Problems</t>
  </si>
  <si>
    <t>Major Problem</t>
  </si>
  <si>
    <t>Intermediate Score</t>
  </si>
  <si>
    <t>Name</t>
  </si>
  <si>
    <t>Sr.</t>
  </si>
  <si>
    <t>Major Issues</t>
  </si>
  <si>
    <t xml:space="preserve">Problem </t>
  </si>
  <si>
    <t>Number</t>
  </si>
  <si>
    <t>Percentage</t>
  </si>
  <si>
    <t>Solution</t>
  </si>
  <si>
    <t>Count</t>
  </si>
  <si>
    <t xml:space="preserve"> Stress Level</t>
  </si>
  <si>
    <t>Additional Comments</t>
  </si>
  <si>
    <t>840-899</t>
  </si>
  <si>
    <t>720-839</t>
  </si>
  <si>
    <t>600-719</t>
  </si>
  <si>
    <t>480-599</t>
  </si>
  <si>
    <t>below 480</t>
  </si>
  <si>
    <t>Marks</t>
  </si>
  <si>
    <t>Grade</t>
  </si>
  <si>
    <t>A++</t>
  </si>
  <si>
    <t>A+</t>
  </si>
  <si>
    <t>A</t>
  </si>
  <si>
    <t>B++</t>
  </si>
  <si>
    <t>B+</t>
  </si>
  <si>
    <t>B</t>
  </si>
  <si>
    <t>C</t>
  </si>
  <si>
    <t>D</t>
  </si>
  <si>
    <t>E</t>
  </si>
  <si>
    <t>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</si>
</sst>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d/yyyy\ h:mm:ss"/>
  </numFmts>
  <fonts count="10" x14ac:knownFonts="1">
    <font>
      <sz val="10"/>
      <color rgb="FF000000"/>
      <name val="Arial"/>
      <scheme val="minor"/>
    </font>
    <font>
      <sz val="10"/>
      <color rgb="FF000000"/>
      <name val="Arial"/>
      <scheme val="minor"/>
    </font>
    <font>
      <b/>
      <sz val="11"/>
      <color theme="1"/>
      <name val="Arial"/>
      <family val="2"/>
      <scheme val="minor"/>
    </font>
    <font>
      <b/>
      <sz val="10"/>
      <color theme="1"/>
      <name val="Arial"/>
      <family val="2"/>
      <scheme val="minor"/>
    </font>
    <font>
      <sz val="10"/>
      <color rgb="FF000000"/>
      <name val="Arial"/>
      <family val="2"/>
      <scheme val="minor"/>
    </font>
    <font>
      <sz val="12"/>
      <color rgb="FF000000"/>
      <name val="Arial"/>
      <family val="2"/>
      <scheme val="minor"/>
    </font>
    <font>
      <b/>
      <sz val="14"/>
      <color theme="0"/>
      <name val="Arial"/>
      <family val="2"/>
      <scheme val="minor"/>
    </font>
    <font>
      <b/>
      <sz val="12"/>
      <color theme="1"/>
      <name val="Arial"/>
      <family val="2"/>
      <scheme val="minor"/>
    </font>
    <font>
      <sz val="12"/>
      <color theme="1"/>
      <name val="Arial"/>
      <family val="2"/>
      <scheme val="minor"/>
    </font>
    <font>
      <b/>
      <sz val="14"/>
      <color theme="1"/>
      <name val="Arial"/>
      <family val="2"/>
      <scheme val="minor"/>
    </font>
  </fonts>
  <fills count="6">
    <fill>
      <patternFill patternType="none"/>
    </fill>
    <fill>
      <patternFill patternType="gray125"/>
    </fill>
    <fill>
      <patternFill patternType="solid">
        <fgColor rgb="FFF8F9FA"/>
        <bgColor rgb="FFF8F9FA"/>
      </patternFill>
    </fill>
    <fill>
      <patternFill patternType="solid">
        <fgColor theme="9" tint="0.79998168889431442"/>
        <bgColor theme="9" tint="0.79998168889431442"/>
      </patternFill>
    </fill>
    <fill>
      <patternFill patternType="solid">
        <fgColor theme="9"/>
        <bgColor theme="9"/>
      </patternFill>
    </fill>
    <fill>
      <patternFill patternType="solid">
        <fgColor theme="9" tint="0.59999389629810485"/>
        <bgColor theme="9" tint="0.59999389629810485"/>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
      <left style="thin">
        <color theme="9" tint="0.39997558519241921"/>
      </left>
      <right/>
      <top style="thin">
        <color theme="9" tint="0.39997558519241921"/>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diagonal/>
    </border>
    <border>
      <left style="thin">
        <color theme="9" tint="0.39997558519241921"/>
      </left>
      <right/>
      <top/>
      <bottom/>
      <diagonal/>
    </border>
  </borders>
  <cellStyleXfs count="2">
    <xf numFmtId="0" fontId="0" fillId="0" borderId="0"/>
    <xf numFmtId="9" fontId="1" fillId="0" borderId="0" applyFont="0" applyFill="0" applyBorder="0" applyAlignment="0" applyProtection="0"/>
  </cellStyleXfs>
  <cellXfs count="46">
    <xf numFmtId="0" fontId="0" fillId="0" borderId="0" xfId="0" applyFont="1" applyAlignment="1"/>
    <xf numFmtId="1" fontId="0" fillId="0" borderId="0" xfId="0" applyNumberFormat="1" applyFont="1" applyAlignment="1"/>
    <xf numFmtId="0" fontId="0" fillId="0" borderId="0" xfId="0" applyFont="1" applyAlignment="1">
      <alignment horizontal="center"/>
    </xf>
    <xf numFmtId="0" fontId="0" fillId="0" borderId="0" xfId="0" applyFont="1" applyAlignment="1">
      <alignment horizontal="left" vertical="center"/>
    </xf>
    <xf numFmtId="0" fontId="7" fillId="3" borderId="5" xfId="0" applyFont="1" applyFill="1" applyBorder="1" applyAlignment="1">
      <alignment horizontal="center" vertical="center"/>
    </xf>
    <xf numFmtId="0" fontId="7" fillId="3" borderId="4" xfId="0" applyFont="1" applyFill="1" applyBorder="1" applyAlignment="1">
      <alignment horizontal="center" vertical="center"/>
    </xf>
    <xf numFmtId="0" fontId="4" fillId="0" borderId="0" xfId="0" applyFont="1" applyAlignment="1"/>
    <xf numFmtId="0" fontId="5" fillId="0" borderId="0" xfId="0" applyFont="1" applyAlignment="1"/>
    <xf numFmtId="0" fontId="5" fillId="0" borderId="0" xfId="0" applyFont="1" applyAlignment="1">
      <alignment wrapText="1"/>
    </xf>
    <xf numFmtId="0" fontId="8" fillId="2" borderId="5" xfId="0" applyFont="1" applyFill="1" applyBorder="1" applyAlignment="1">
      <alignment vertical="center"/>
    </xf>
    <xf numFmtId="0" fontId="8" fillId="3" borderId="5" xfId="0" applyFont="1" applyFill="1" applyBorder="1" applyAlignment="1">
      <alignment horizontal="left" vertical="center"/>
    </xf>
    <xf numFmtId="0" fontId="8" fillId="3" borderId="5" xfId="0" applyFont="1" applyFill="1" applyBorder="1" applyAlignment="1">
      <alignment horizontal="center" vertical="center"/>
    </xf>
    <xf numFmtId="9" fontId="8" fillId="3" borderId="4" xfId="1" applyNumberFormat="1" applyFont="1" applyFill="1" applyBorder="1" applyAlignment="1">
      <alignment horizontal="center" vertical="center"/>
    </xf>
    <xf numFmtId="0" fontId="8" fillId="3" borderId="3" xfId="0" applyFont="1" applyFill="1" applyBorder="1" applyAlignment="1">
      <alignment horizontal="left" vertical="center"/>
    </xf>
    <xf numFmtId="0" fontId="8" fillId="3" borderId="3" xfId="0" applyFont="1" applyFill="1" applyBorder="1" applyAlignment="1">
      <alignment horizontal="center" vertical="center"/>
    </xf>
    <xf numFmtId="9" fontId="8" fillId="3" borderId="1" xfId="1" applyNumberFormat="1" applyFont="1" applyFill="1" applyBorder="1" applyAlignment="1">
      <alignment horizontal="center" vertical="center"/>
    </xf>
    <xf numFmtId="0" fontId="5" fillId="0" borderId="0" xfId="0" applyFont="1" applyAlignment="1">
      <alignment horizontal="center" wrapText="1"/>
    </xf>
    <xf numFmtId="0" fontId="5" fillId="0" borderId="0" xfId="0" applyFont="1" applyAlignment="1">
      <alignment horizontal="center" vertical="center"/>
    </xf>
    <xf numFmtId="0" fontId="7" fillId="5" borderId="1" xfId="0" applyFont="1" applyFill="1" applyBorder="1" applyAlignment="1">
      <alignment horizontal="center" vertical="center"/>
    </xf>
    <xf numFmtId="0" fontId="8" fillId="3" borderId="1" xfId="0" applyFont="1" applyFill="1" applyBorder="1" applyAlignment="1">
      <alignment horizontal="center" vertical="center"/>
    </xf>
    <xf numFmtId="0" fontId="8" fillId="5" borderId="1" xfId="0" applyFont="1" applyFill="1" applyBorder="1" applyAlignment="1">
      <alignment horizontal="center" vertical="center"/>
    </xf>
    <xf numFmtId="9" fontId="8" fillId="5" borderId="1" xfId="1" applyNumberFormat="1" applyFont="1" applyFill="1" applyBorder="1" applyAlignment="1">
      <alignment horizontal="center" vertical="center"/>
    </xf>
    <xf numFmtId="0" fontId="3" fillId="3" borderId="7" xfId="0" applyFont="1" applyFill="1" applyBorder="1" applyAlignment="1">
      <alignment horizontal="left" vertical="center"/>
    </xf>
    <xf numFmtId="164" fontId="2" fillId="5" borderId="7" xfId="0" applyNumberFormat="1" applyFont="1" applyFill="1" applyBorder="1" applyAlignment="1">
      <alignment vertical="center"/>
    </xf>
    <xf numFmtId="164" fontId="2" fillId="3" borderId="7" xfId="0" applyNumberFormat="1" applyFont="1" applyFill="1" applyBorder="1" applyAlignment="1">
      <alignment vertical="center"/>
    </xf>
    <xf numFmtId="164" fontId="2" fillId="3" borderId="8" xfId="0" applyNumberFormat="1" applyFont="1" applyFill="1" applyBorder="1" applyAlignment="1">
      <alignment vertical="center"/>
    </xf>
    <xf numFmtId="0" fontId="7" fillId="0" borderId="7" xfId="0" applyFont="1" applyFill="1" applyBorder="1" applyAlignment="1">
      <alignment horizontal="left" vertical="center"/>
    </xf>
    <xf numFmtId="1" fontId="7" fillId="0" borderId="0" xfId="0" applyNumberFormat="1" applyFont="1" applyFill="1" applyBorder="1" applyAlignment="1">
      <alignment horizontal="center" vertical="center"/>
    </xf>
    <xf numFmtId="0" fontId="7" fillId="0" borderId="10" xfId="0" applyFont="1" applyFill="1" applyBorder="1" applyAlignment="1">
      <alignment horizontal="center" vertical="center"/>
    </xf>
    <xf numFmtId="0" fontId="7" fillId="0" borderId="10" xfId="0" applyFont="1" applyFill="1" applyBorder="1" applyAlignment="1">
      <alignment horizontal="center" vertical="center" wrapText="1"/>
    </xf>
    <xf numFmtId="1" fontId="8" fillId="0" borderId="9" xfId="0" applyNumberFormat="1" applyFont="1" applyFill="1" applyBorder="1" applyAlignment="1">
      <alignment horizontal="center" vertical="center"/>
    </xf>
    <xf numFmtId="0" fontId="8" fillId="0" borderId="7" xfId="0" applyFont="1" applyFill="1" applyBorder="1" applyAlignment="1">
      <alignment horizontal="left" vertical="center"/>
    </xf>
    <xf numFmtId="0" fontId="8" fillId="0" borderId="7" xfId="0" applyFont="1" applyFill="1" applyBorder="1" applyAlignment="1">
      <alignment horizontal="center" vertical="center"/>
    </xf>
    <xf numFmtId="0" fontId="8" fillId="0" borderId="7" xfId="0" applyFont="1" applyFill="1" applyBorder="1" applyAlignment="1">
      <alignment vertical="center" wrapText="1"/>
    </xf>
    <xf numFmtId="0" fontId="8" fillId="0" borderId="7" xfId="0" applyFont="1" applyFill="1" applyBorder="1" applyAlignment="1">
      <alignment vertical="center"/>
    </xf>
    <xf numFmtId="0" fontId="7" fillId="0" borderId="7" xfId="0" applyFont="1" applyFill="1" applyBorder="1" applyAlignment="1">
      <alignment horizontal="center" vertical="center" wrapText="1"/>
    </xf>
    <xf numFmtId="0" fontId="8" fillId="0" borderId="7" xfId="0" applyFont="1" applyFill="1" applyBorder="1" applyAlignment="1">
      <alignment wrapText="1"/>
    </xf>
    <xf numFmtId="0" fontId="8" fillId="5" borderId="5" xfId="0" applyFont="1" applyFill="1" applyBorder="1" applyAlignment="1">
      <alignment horizontal="center" vertical="center"/>
    </xf>
    <xf numFmtId="9" fontId="8" fillId="5" borderId="4" xfId="1" applyNumberFormat="1" applyFont="1" applyFill="1" applyBorder="1" applyAlignment="1">
      <alignment horizontal="center" vertical="center"/>
    </xf>
    <xf numFmtId="0" fontId="8" fillId="5" borderId="5" xfId="0" applyFont="1" applyFill="1" applyBorder="1" applyAlignment="1">
      <alignment horizontal="left" vertical="center"/>
    </xf>
    <xf numFmtId="0" fontId="6" fillId="0" borderId="0" xfId="0" applyFont="1" applyFill="1" applyBorder="1" applyAlignment="1">
      <alignment horizontal="center" vertical="center"/>
    </xf>
    <xf numFmtId="9" fontId="8" fillId="3" borderId="1" xfId="1" applyFont="1" applyFill="1" applyBorder="1" applyAlignment="1">
      <alignment horizontal="center" vertical="center"/>
    </xf>
    <xf numFmtId="0" fontId="9" fillId="3" borderId="1" xfId="0" applyFont="1" applyFill="1" applyBorder="1" applyAlignment="1">
      <alignment horizontal="center" vertical="center"/>
    </xf>
    <xf numFmtId="0" fontId="6" fillId="4" borderId="3" xfId="0" applyFont="1" applyFill="1" applyBorder="1" applyAlignment="1">
      <alignment horizontal="center" vertical="center"/>
    </xf>
    <xf numFmtId="0" fontId="6" fillId="4" borderId="6" xfId="0" applyFont="1" applyFill="1" applyBorder="1" applyAlignment="1">
      <alignment horizontal="center" vertical="center"/>
    </xf>
    <xf numFmtId="0" fontId="6" fillId="4" borderId="2" xfId="0" applyFont="1" applyFill="1" applyBorder="1" applyAlignment="1">
      <alignment horizontal="center" vertical="center"/>
    </xf>
  </cellXfs>
  <cellStyles count="2">
    <cellStyle name="Normal" xfId="0" builtinId="0"/>
    <cellStyle name="Percent" xfId="1" builtinId="5"/>
  </cellStyles>
  <dxfs count="24">
    <dxf>
      <font>
        <b/>
        <i val="0"/>
        <strike val="0"/>
        <condense val="0"/>
        <extend val="0"/>
        <outline val="0"/>
        <shadow val="0"/>
        <u val="none"/>
        <vertAlign val="baseline"/>
        <sz val="12"/>
        <color theme="1"/>
        <name val="Arial"/>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9" tint="0.39997558519241921"/>
        </left>
        <right/>
        <top style="thin">
          <color theme="9" tint="0.39997558519241921"/>
        </top>
        <bottom/>
      </border>
    </dxf>
    <dxf>
      <fill>
        <patternFill patternType="none">
          <fgColor indexed="64"/>
          <bgColor auto="1"/>
        </patternFill>
      </fill>
    </dxf>
    <dxf>
      <font>
        <b val="0"/>
        <i val="0"/>
        <strike val="0"/>
        <condense val="0"/>
        <extend val="0"/>
        <outline val="0"/>
        <shadow val="0"/>
        <u val="none"/>
        <vertAlign val="baseline"/>
        <sz val="12"/>
        <color theme="1"/>
        <name val="Arial"/>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9" tint="0.39997558519241921"/>
        </left>
        <right/>
        <top style="thin">
          <color theme="9" tint="0.39997558519241921"/>
        </top>
        <bottom/>
      </border>
    </dxf>
    <dxf>
      <font>
        <b val="0"/>
        <i val="0"/>
        <strike val="0"/>
        <condense val="0"/>
        <extend val="0"/>
        <outline val="0"/>
        <shadow val="0"/>
        <u val="none"/>
        <vertAlign val="baseline"/>
        <sz val="12"/>
        <color theme="1"/>
        <name val="Arial"/>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theme="9" tint="0.39997558519241921"/>
        </left>
        <right/>
        <top style="thin">
          <color theme="9" tint="0.39997558519241921"/>
        </top>
        <bottom/>
      </border>
    </dxf>
    <dxf>
      <font>
        <b val="0"/>
        <i val="0"/>
        <strike val="0"/>
        <condense val="0"/>
        <extend val="0"/>
        <outline val="0"/>
        <shadow val="0"/>
        <u val="none"/>
        <vertAlign val="baseline"/>
        <sz val="12"/>
        <color theme="1"/>
        <name val="Arial"/>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theme="9" tint="0.39997558519241921"/>
        </left>
        <right/>
        <top style="thin">
          <color theme="9" tint="0.39997558519241921"/>
        </top>
        <bottom/>
      </border>
    </dxf>
    <dxf>
      <font>
        <b val="0"/>
        <i val="0"/>
        <strike val="0"/>
        <condense val="0"/>
        <extend val="0"/>
        <outline val="0"/>
        <shadow val="0"/>
        <u val="none"/>
        <vertAlign val="baseline"/>
        <sz val="12"/>
        <color theme="1"/>
        <name val="Arial"/>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theme="9" tint="0.39997558519241921"/>
        </left>
        <right/>
        <top style="thin">
          <color theme="9" tint="0.39997558519241921"/>
        </top>
        <bottom/>
      </border>
    </dxf>
    <dxf>
      <font>
        <b val="0"/>
        <i val="0"/>
        <strike val="0"/>
        <condense val="0"/>
        <extend val="0"/>
        <outline val="0"/>
        <shadow val="0"/>
        <u val="none"/>
        <vertAlign val="baseline"/>
        <sz val="12"/>
        <color theme="1"/>
        <name val="Arial"/>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theme="9" tint="0.39997558519241921"/>
        </left>
        <right/>
        <top style="thin">
          <color theme="9" tint="0.39997558519241921"/>
        </top>
        <bottom/>
      </border>
    </dxf>
    <dxf>
      <font>
        <b val="0"/>
        <i val="0"/>
        <strike val="0"/>
        <condense val="0"/>
        <extend val="0"/>
        <outline val="0"/>
        <shadow val="0"/>
        <u val="none"/>
        <vertAlign val="baseline"/>
        <sz val="12"/>
        <color theme="1"/>
        <name val="Arial"/>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theme="9" tint="0.39997558519241921"/>
        </left>
        <right/>
        <top style="thin">
          <color theme="9" tint="0.39997558519241921"/>
        </top>
        <bottom/>
      </border>
    </dxf>
    <dxf>
      <font>
        <b val="0"/>
        <i val="0"/>
        <strike val="0"/>
        <condense val="0"/>
        <extend val="0"/>
        <outline val="0"/>
        <shadow val="0"/>
        <u val="none"/>
        <vertAlign val="baseline"/>
        <sz val="12"/>
        <color theme="1"/>
        <name val="Arial"/>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theme="9" tint="0.39997558519241921"/>
        </left>
        <right/>
        <top style="thin">
          <color theme="9" tint="0.39997558519241921"/>
        </top>
        <bottom/>
      </border>
    </dxf>
    <dxf>
      <font>
        <b val="0"/>
        <i val="0"/>
        <strike val="0"/>
        <condense val="0"/>
        <extend val="0"/>
        <outline val="0"/>
        <shadow val="0"/>
        <u val="none"/>
        <vertAlign val="baseline"/>
        <sz val="12"/>
        <color theme="1"/>
        <name val="Arial"/>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theme="9" tint="0.39997558519241921"/>
        </left>
        <right/>
        <top style="thin">
          <color theme="9" tint="0.39997558519241921"/>
        </top>
        <bottom/>
      </border>
    </dxf>
    <dxf>
      <font>
        <b val="0"/>
        <i val="0"/>
        <strike val="0"/>
        <condense val="0"/>
        <extend val="0"/>
        <outline val="0"/>
        <shadow val="0"/>
        <u val="none"/>
        <vertAlign val="baseline"/>
        <sz val="12"/>
        <color theme="1"/>
        <name val="Arial"/>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theme="9" tint="0.39997558519241921"/>
        </left>
        <right/>
        <top style="thin">
          <color theme="9" tint="0.39997558519241921"/>
        </top>
        <bottom/>
      </border>
    </dxf>
    <dxf>
      <font>
        <b val="0"/>
        <i val="0"/>
        <strike val="0"/>
        <condense val="0"/>
        <extend val="0"/>
        <outline val="0"/>
        <shadow val="0"/>
        <u val="none"/>
        <vertAlign val="baseline"/>
        <sz val="12"/>
        <color theme="1"/>
        <name val="Arial"/>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theme="9" tint="0.39997558519241921"/>
        </left>
        <right/>
        <top style="thin">
          <color theme="9" tint="0.39997558519241921"/>
        </top>
        <bottom/>
      </border>
    </dxf>
    <dxf>
      <font>
        <b val="0"/>
        <i val="0"/>
        <strike val="0"/>
        <condense val="0"/>
        <extend val="0"/>
        <outline val="0"/>
        <shadow val="0"/>
        <u val="none"/>
        <vertAlign val="baseline"/>
        <sz val="12"/>
        <color theme="1"/>
        <name val="Arial"/>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theme="9" tint="0.39997558519241921"/>
        </left>
        <right/>
        <top style="thin">
          <color theme="9" tint="0.39997558519241921"/>
        </top>
        <bottom/>
      </border>
    </dxf>
    <dxf>
      <font>
        <b val="0"/>
        <i val="0"/>
        <strike val="0"/>
        <condense val="0"/>
        <extend val="0"/>
        <outline val="0"/>
        <shadow val="0"/>
        <u val="none"/>
        <vertAlign val="baseline"/>
        <sz val="12"/>
        <color theme="1"/>
        <name val="Arial"/>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9" tint="0.39997558519241921"/>
        </left>
        <right/>
        <top style="thin">
          <color theme="9" tint="0.39997558519241921"/>
        </top>
        <bottom/>
      </border>
    </dxf>
    <dxf>
      <font>
        <b val="0"/>
        <i val="0"/>
        <strike val="0"/>
        <condense val="0"/>
        <extend val="0"/>
        <outline val="0"/>
        <shadow val="0"/>
        <u val="none"/>
        <vertAlign val="baseline"/>
        <sz val="12"/>
        <color theme="1"/>
        <name val="Arial"/>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theme="9" tint="0.39997558519241921"/>
        </left>
        <right/>
        <top style="thin">
          <color theme="9" tint="0.39997558519241921"/>
        </top>
        <bottom/>
      </border>
    </dxf>
    <dxf>
      <font>
        <b val="0"/>
        <i val="0"/>
        <strike val="0"/>
        <condense val="0"/>
        <extend val="0"/>
        <outline val="0"/>
        <shadow val="0"/>
        <u val="none"/>
        <vertAlign val="baseline"/>
        <sz val="12"/>
        <color theme="1"/>
        <name val="Arial"/>
        <scheme val="minor"/>
      </font>
      <fill>
        <patternFill patternType="none">
          <fgColor indexed="64"/>
          <bgColor auto="1"/>
        </patternFill>
      </fill>
      <alignment horizontal="left" vertical="center" textRotation="0" wrapText="0" indent="0" justifyLastLine="0" shrinkToFit="0" readingOrder="0"/>
      <border diagonalUp="0" diagonalDown="0" outline="0">
        <left style="thin">
          <color theme="9" tint="0.39997558519241921"/>
        </left>
        <right/>
        <top style="thin">
          <color theme="9" tint="0.39997558519241921"/>
        </top>
        <bottom/>
      </border>
    </dxf>
    <dxf>
      <font>
        <b val="0"/>
        <i val="0"/>
        <strike val="0"/>
        <condense val="0"/>
        <extend val="0"/>
        <outline val="0"/>
        <shadow val="0"/>
        <u val="none"/>
        <vertAlign val="baseline"/>
        <sz val="12"/>
        <color theme="1"/>
        <name val="Arial"/>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9" tint="0.39997558519241921"/>
        </top>
        <bottom/>
      </border>
    </dxf>
    <dxf>
      <border outline="0">
        <left style="thin">
          <color theme="9" tint="0.39997558519241921"/>
        </left>
        <right style="thin">
          <color theme="9" tint="0.39997558519241921"/>
        </right>
        <top style="thin">
          <color theme="9" tint="0.39997558519241921"/>
        </top>
        <bottom style="thin">
          <color theme="9" tint="0.39997558519241921"/>
        </bottom>
      </border>
    </dxf>
    <dxf>
      <fill>
        <patternFill patternType="none">
          <fgColor indexed="64"/>
          <bgColor auto="1"/>
        </patternFill>
      </fill>
    </dxf>
    <dxf>
      <font>
        <b/>
        <i val="0"/>
        <strike val="0"/>
        <condense val="0"/>
        <extend val="0"/>
        <outline val="0"/>
        <shadow val="0"/>
        <u val="none"/>
        <vertAlign val="baseline"/>
        <sz val="12"/>
        <color theme="1"/>
        <name val="Arial"/>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9" tint="0.39997558519241921"/>
        </left>
        <right style="thin">
          <color theme="9" tint="0.39997558519241921"/>
        </right>
        <top/>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Form Responses -style" pivot="0" count="4">
      <tableStyleElement type="wholeTable" size="0" dxfId="23"/>
      <tableStyleElement type="headerRow" dxfId="22"/>
      <tableStyleElement type="firstRowStripe" dxfId="21"/>
      <tableStyleElement type="secondRowStripe" dxfId="2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Major Problem of University Freshers</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7775-463B-8024-03D1F3927F26}"/>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7775-463B-8024-03D1F3927F26}"/>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7775-463B-8024-03D1F3927F26}"/>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7775-463B-8024-03D1F3927F26}"/>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7775-463B-8024-03D1F3927F26}"/>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7775-463B-8024-03D1F3927F26}"/>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7775-463B-8024-03D1F3927F26}"/>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F-7775-463B-8024-03D1F3927F26}"/>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'Form Responses '!$T$5:$T$12</c:f>
              <c:strCache>
                <c:ptCount val="8"/>
                <c:pt idx="0">
                  <c:v>Academic problems</c:v>
                </c:pt>
                <c:pt idx="1">
                  <c:v>Administrative or university management problems</c:v>
                </c:pt>
                <c:pt idx="2">
                  <c:v>Psychological or emotional stress</c:v>
                </c:pt>
                <c:pt idx="3">
                  <c:v>Social &amp; Interpersonal Problems</c:v>
                </c:pt>
                <c:pt idx="4">
                  <c:v>Financial problems</c:v>
                </c:pt>
                <c:pt idx="5">
                  <c:v>Accommodation or hostel-related issues</c:v>
                </c:pt>
                <c:pt idx="6">
                  <c:v>Career or future uncertainty</c:v>
                </c:pt>
                <c:pt idx="7">
                  <c:v>Health and lifestyle issues</c:v>
                </c:pt>
              </c:strCache>
            </c:strRef>
          </c:cat>
          <c:val>
            <c:numRef>
              <c:f>'Form Responses '!$V$5:$V$12</c:f>
              <c:numCache>
                <c:formatCode>0%</c:formatCode>
                <c:ptCount val="8"/>
                <c:pt idx="0">
                  <c:v>0.41935483870967744</c:v>
                </c:pt>
                <c:pt idx="1">
                  <c:v>0.19354838709677419</c:v>
                </c:pt>
                <c:pt idx="2">
                  <c:v>0.12903225806451613</c:v>
                </c:pt>
                <c:pt idx="3">
                  <c:v>3.2258064516129031E-2</c:v>
                </c:pt>
                <c:pt idx="4">
                  <c:v>6.4516129032258063E-2</c:v>
                </c:pt>
                <c:pt idx="5">
                  <c:v>6.4516129032258063E-2</c:v>
                </c:pt>
                <c:pt idx="6">
                  <c:v>3.2258064516129031E-2</c:v>
                </c:pt>
                <c:pt idx="7">
                  <c:v>6.4516129032258063E-2</c:v>
                </c:pt>
              </c:numCache>
            </c:numRef>
          </c:val>
          <c:extLst>
            <c:ext xmlns:c16="http://schemas.microsoft.com/office/drawing/2014/chart" uri="{C3380CC4-5D6E-409C-BE32-E72D297353CC}">
              <c16:uniqueId val="{00000000-CF3B-4DD9-A1F4-1D6B4C6DED9B}"/>
            </c:ext>
          </c:extLst>
        </c:ser>
        <c:dLbls>
          <c:dLblPos val="ctr"/>
          <c:showLegendKey val="0"/>
          <c:showVal val="0"/>
          <c:showCatName val="0"/>
          <c:showSerName val="0"/>
          <c:showPercent val="1"/>
          <c:showBubbleSize val="0"/>
          <c:showLeaderLines val="1"/>
        </c:dLbls>
      </c:pie3D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'Form Responses '!$T$19</c:f>
              <c:strCache>
                <c:ptCount val="1"/>
                <c:pt idx="0">
                  <c:v> Stress Level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ECA3-442B-93EA-07E569743A28}"/>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ECA3-442B-93EA-07E569743A28}"/>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ECA3-442B-93EA-07E569743A28}"/>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ECA3-442B-93EA-07E569743A28}"/>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ECA3-442B-93EA-07E569743A28}"/>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val>
            <c:numRef>
              <c:f>'Form Responses '!$T$20:$T$24</c:f>
              <c:numCache>
                <c:formatCode>General</c:formatCode>
                <c:ptCount val="5"/>
                <c:pt idx="0">
                  <c:v>1</c:v>
                </c:pt>
                <c:pt idx="1">
                  <c:v>2</c:v>
                </c:pt>
                <c:pt idx="2">
                  <c:v>3</c:v>
                </c:pt>
                <c:pt idx="3">
                  <c:v>4</c:v>
                </c:pt>
                <c:pt idx="4">
                  <c:v>5</c:v>
                </c:pt>
              </c:numCache>
            </c:numRef>
          </c:val>
          <c:extLst>
            <c:ext xmlns:c16="http://schemas.microsoft.com/office/drawing/2014/chart" uri="{C3380CC4-5D6E-409C-BE32-E72D297353CC}">
              <c16:uniqueId val="{00000000-35BC-4589-9B0F-4125DF7124F0}"/>
            </c:ext>
          </c:extLst>
        </c:ser>
        <c:ser>
          <c:idx val="1"/>
          <c:order val="1"/>
          <c:tx>
            <c:strRef>
              <c:f>'Form Responses '!$V$19</c:f>
              <c:strCache>
                <c:ptCount val="1"/>
                <c:pt idx="0">
                  <c:v>Percentage</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ECA3-442B-93EA-07E569743A28}"/>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ECA3-442B-93EA-07E569743A28}"/>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F-ECA3-442B-93EA-07E569743A28}"/>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1-ECA3-442B-93EA-07E569743A28}"/>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3-ECA3-442B-93EA-07E569743A28}"/>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'Form Responses '!$V$20:$V$24</c:f>
              <c:numCache>
                <c:formatCode>0%</c:formatCode>
                <c:ptCount val="5"/>
                <c:pt idx="0">
                  <c:v>3.125E-2</c:v>
                </c:pt>
                <c:pt idx="1">
                  <c:v>0.15625</c:v>
                </c:pt>
                <c:pt idx="2">
                  <c:v>0.28125</c:v>
                </c:pt>
                <c:pt idx="3">
                  <c:v>0.25</c:v>
                </c:pt>
                <c:pt idx="4">
                  <c:v>0.28125</c:v>
                </c:pt>
              </c:numCache>
            </c:numRef>
          </c:val>
          <c:extLst>
            <c:ext xmlns:c16="http://schemas.microsoft.com/office/drawing/2014/chart" uri="{C3380CC4-5D6E-409C-BE32-E72D297353CC}">
              <c16:uniqueId val="{00000001-35BC-4589-9B0F-4125DF7124F0}"/>
            </c:ext>
          </c:extLst>
        </c:ser>
        <c:ser>
          <c:idx val="2"/>
          <c:order val="2"/>
          <c:tx>
            <c:strRef>
              <c:f>'Form Responses '!$T$5:$T$11</c:f>
              <c:strCache>
                <c:ptCount val="7"/>
                <c:pt idx="0">
                  <c:v>Academic problems</c:v>
                </c:pt>
                <c:pt idx="1">
                  <c:v>Administrative or university management problems</c:v>
                </c:pt>
                <c:pt idx="2">
                  <c:v>Psychological or emotional stress</c:v>
                </c:pt>
                <c:pt idx="3">
                  <c:v>Social &amp; Interpersonal Problems</c:v>
                </c:pt>
                <c:pt idx="4">
                  <c:v>Financial problems</c:v>
                </c:pt>
                <c:pt idx="5">
                  <c:v>Accommodation or hostel-related issues</c:v>
                </c:pt>
                <c:pt idx="6">
                  <c:v>Career or future uncertainty</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5-ECA3-442B-93EA-07E569743A28}"/>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'Form Responses '!$T$12</c:f>
              <c:numCache>
                <c:formatCode>General</c:formatCode>
                <c:ptCount val="1"/>
                <c:pt idx="0">
                  <c:v>0</c:v>
                </c:pt>
              </c:numCache>
            </c:numRef>
          </c:val>
          <c:extLst>
            <c:ext xmlns:c16="http://schemas.microsoft.com/office/drawing/2014/chart" uri="{C3380CC4-5D6E-409C-BE32-E72D297353CC}">
              <c16:uniqueId val="{00000002-35BC-4589-9B0F-4125DF7124F0}"/>
            </c:ext>
          </c:extLst>
        </c:ser>
        <c:dLbls>
          <c:dLblPos val="ctr"/>
          <c:showLegendKey val="0"/>
          <c:showVal val="0"/>
          <c:showCatName val="0"/>
          <c:showSerName val="0"/>
          <c:showPercent val="1"/>
          <c:showBubbleSize val="0"/>
          <c:showLeaderLines val="1"/>
        </c:dLbls>
      </c:pie3D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Marks</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451E-4F81-B6E0-D5DA6E466136}"/>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451E-4F81-B6E0-D5DA6E466136}"/>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451E-4F81-B6E0-D5DA6E466136}"/>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451E-4F81-B6E0-D5DA6E466136}"/>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451E-4F81-B6E0-D5DA6E466136}"/>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451E-4F81-B6E0-D5DA6E466136}"/>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451E-4F81-B6E0-D5DA6E466136}"/>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F-451E-4F81-B6E0-D5DA6E466136}"/>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1-451E-4F81-B6E0-D5DA6E466136}"/>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3-451E-4F81-B6E0-D5DA6E466136}"/>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'Form Responses '!$T$34:$T$43</c:f>
              <c:strCache>
                <c:ptCount val="10"/>
                <c:pt idx="0">
                  <c:v>1140-1200</c:v>
                </c:pt>
                <c:pt idx="1">
                  <c:v>1080-1139</c:v>
                </c:pt>
                <c:pt idx="2">
                  <c:v>1020-1079</c:v>
                </c:pt>
                <c:pt idx="3">
                  <c:v>960-1019</c:v>
                </c:pt>
                <c:pt idx="4">
                  <c:v>900-959</c:v>
                </c:pt>
                <c:pt idx="5">
                  <c:v>840-899</c:v>
                </c:pt>
                <c:pt idx="6">
                  <c:v>720-839</c:v>
                </c:pt>
                <c:pt idx="7">
                  <c:v>600-719</c:v>
                </c:pt>
                <c:pt idx="8">
                  <c:v>480-599</c:v>
                </c:pt>
                <c:pt idx="9">
                  <c:v>below 480</c:v>
                </c:pt>
              </c:strCache>
            </c:strRef>
          </c:cat>
          <c:val>
            <c:numRef>
              <c:f>'Form Responses '!$W$34:$W$43</c:f>
              <c:numCache>
                <c:formatCode>0%</c:formatCode>
                <c:ptCount val="10"/>
                <c:pt idx="0">
                  <c:v>6.25E-2</c:v>
                </c:pt>
                <c:pt idx="1">
                  <c:v>0.34375</c:v>
                </c:pt>
                <c:pt idx="2">
                  <c:v>0.3125</c:v>
                </c:pt>
                <c:pt idx="3">
                  <c:v>0.1875</c:v>
                </c:pt>
                <c:pt idx="4">
                  <c:v>9.375E-2</c:v>
                </c:pt>
                <c:pt idx="5">
                  <c:v>0</c:v>
                </c:pt>
                <c:pt idx="6">
                  <c:v>0</c:v>
                </c:pt>
                <c:pt idx="7">
                  <c:v>0</c:v>
                </c:pt>
                <c:pt idx="8">
                  <c:v>0</c:v>
                </c:pt>
                <c:pt idx="9">
                  <c:v>0</c:v>
                </c:pt>
              </c:numCache>
            </c:numRef>
          </c:val>
          <c:extLst>
            <c:ext xmlns:c16="http://schemas.microsoft.com/office/drawing/2014/chart" uri="{C3380CC4-5D6E-409C-BE32-E72D297353CC}">
              <c16:uniqueId val="{00000000-A62E-4655-8D1E-7B1CF6D622EB}"/>
            </c:ext>
          </c:extLst>
        </c:ser>
        <c:dLbls>
          <c:dLblPos val="ctr"/>
          <c:showLegendKey val="0"/>
          <c:showVal val="0"/>
          <c:showCatName val="0"/>
          <c:showSerName val="0"/>
          <c:showPercent val="1"/>
          <c:showBubbleSize val="0"/>
          <c:showLeaderLines val="1"/>
        </c:dLbls>
      </c:pie3D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18</xdr:col>
      <xdr:colOff>1255568</xdr:colOff>
      <xdr:row>11</xdr:row>
      <xdr:rowOff>66427</xdr:rowOff>
    </xdr:from>
    <xdr:to>
      <xdr:col>22</xdr:col>
      <xdr:colOff>23812</xdr:colOff>
      <xdr:row>15</xdr:row>
      <xdr:rowOff>523875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1246908</xdr:colOff>
      <xdr:row>24</xdr:row>
      <xdr:rowOff>74468</xdr:rowOff>
    </xdr:from>
    <xdr:to>
      <xdr:col>21</xdr:col>
      <xdr:colOff>1194954</xdr:colOff>
      <xdr:row>28</xdr:row>
      <xdr:rowOff>329045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51952</xdr:colOff>
      <xdr:row>43</xdr:row>
      <xdr:rowOff>5195</xdr:rowOff>
    </xdr:from>
    <xdr:to>
      <xdr:col>23</xdr:col>
      <xdr:colOff>51953</xdr:colOff>
      <xdr:row>62</xdr:row>
      <xdr:rowOff>138545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ables/table1.xml><?xml version="1.0" encoding="utf-8"?>
<table xmlns="http://schemas.openxmlformats.org/spreadsheetml/2006/main" id="6" name="Table6" displayName="Table6" ref="B1:R33" totalsRowShown="0" headerRowDxfId="19" dataDxfId="18" tableBorderDxfId="17">
  <tableColumns count="17">
    <tableColumn id="1" name="Sr." dataDxfId="16"/>
    <tableColumn id="2" name="Name" dataDxfId="15"/>
    <tableColumn id="3" name="Intermediate Score" dataDxfId="14"/>
    <tableColumn id="4" name="Problems" dataDxfId="13"/>
    <tableColumn id="5" name="Major Problem" dataDxfId="12"/>
    <tableColumn id="6" name="Academic problems" dataDxfId="11"/>
    <tableColumn id="7" name="Administrative or university management problems" dataDxfId="10"/>
    <tableColumn id="8" name="Psychological or emotional stress" dataDxfId="9"/>
    <tableColumn id="9" name="Social &amp; Interpersonal Problems" dataDxfId="8"/>
    <tableColumn id="10" name="Financial Problems" dataDxfId="7"/>
    <tableColumn id="11" name="Accommodation or hostel-related issues" dataDxfId="6"/>
    <tableColumn id="12" name="Career &amp; Future Uncertainty" dataDxfId="5"/>
    <tableColumn id="13" name="Health and Lifestyle Problems" dataDxfId="4"/>
    <tableColumn id="14" name="Stress" dataDxfId="3"/>
    <tableColumn id="15" name="Solution" dataDxfId="2"/>
    <tableColumn id="16" name="Additional Comments" dataDxfId="1"/>
    <tableColumn id="17" name="Email Address" dataDxfId="0"/>
  </tableColumns>
  <tableStyleInfo name="TableStyleMedium28"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43"/>
  <sheetViews>
    <sheetView tabSelected="1" topLeftCell="B1" zoomScale="55" zoomScaleNormal="55" workbookViewId="0">
      <pane ySplit="1" topLeftCell="A2" activePane="bottomLeft" state="frozen"/>
      <selection pane="bottomLeft" activeCell="C1" sqref="C1"/>
    </sheetView>
  </sheetViews>
  <sheetFormatPr defaultColWidth="12.5703125" defaultRowHeight="15.75" customHeight="1" x14ac:dyDescent="0.2"/>
  <cols>
    <col min="1" max="1" width="18.85546875" hidden="1" customWidth="1"/>
    <col min="2" max="2" width="7.28515625" style="1" customWidth="1"/>
    <col min="3" max="3" width="72.5703125" style="3" bestFit="1" customWidth="1"/>
    <col min="4" max="4" width="28.5703125" style="2" customWidth="1"/>
    <col min="5" max="5" width="71.5703125" style="8" customWidth="1"/>
    <col min="6" max="7" width="37.5703125" style="7" customWidth="1"/>
    <col min="8" max="8" width="70.42578125" style="7" customWidth="1"/>
    <col min="9" max="9" width="49.140625" style="7" customWidth="1"/>
    <col min="10" max="10" width="46.28515625" style="7" customWidth="1"/>
    <col min="11" max="11" width="37.5703125" style="7" customWidth="1"/>
    <col min="12" max="12" width="57.7109375" style="7" customWidth="1"/>
    <col min="13" max="13" width="40" style="7" customWidth="1"/>
    <col min="14" max="14" width="126.5703125" style="7" bestFit="1" customWidth="1"/>
    <col min="15" max="15" width="17.28515625" style="17" customWidth="1"/>
    <col min="16" max="16" width="72.28515625" style="8" customWidth="1"/>
    <col min="17" max="17" width="41" style="8" bestFit="1" customWidth="1"/>
    <col min="18" max="18" width="61.140625" style="16" customWidth="1"/>
    <col min="19" max="19" width="18.85546875" style="7" customWidth="1"/>
    <col min="20" max="20" width="43.5703125" style="7" bestFit="1" customWidth="1"/>
    <col min="21" max="24" width="18.85546875" style="7" customWidth="1"/>
    <col min="25" max="25" width="12.5703125" style="7"/>
  </cols>
  <sheetData>
    <row r="1" spans="1:22" ht="33" customHeight="1" x14ac:dyDescent="0.2">
      <c r="A1" s="22" t="s">
        <v>0</v>
      </c>
      <c r="B1" s="27" t="s">
        <v>218</v>
      </c>
      <c r="C1" s="28" t="s">
        <v>217</v>
      </c>
      <c r="D1" s="28" t="s">
        <v>216</v>
      </c>
      <c r="E1" s="29" t="s">
        <v>214</v>
      </c>
      <c r="F1" s="28" t="s">
        <v>215</v>
      </c>
      <c r="G1" s="28" t="s">
        <v>24</v>
      </c>
      <c r="H1" s="28" t="s">
        <v>3</v>
      </c>
      <c r="I1" s="28" t="s">
        <v>4</v>
      </c>
      <c r="J1" s="28" t="s">
        <v>15</v>
      </c>
      <c r="K1" s="28" t="s">
        <v>213</v>
      </c>
      <c r="L1" s="28" t="s">
        <v>103</v>
      </c>
      <c r="M1" s="28" t="s">
        <v>212</v>
      </c>
      <c r="N1" s="28" t="s">
        <v>211</v>
      </c>
      <c r="O1" s="28" t="s">
        <v>210</v>
      </c>
      <c r="P1" s="29" t="s">
        <v>223</v>
      </c>
      <c r="Q1" s="29" t="s">
        <v>226</v>
      </c>
      <c r="R1" s="29" t="s">
        <v>1</v>
      </c>
    </row>
    <row r="2" spans="1:22" ht="53.25" customHeight="1" x14ac:dyDescent="0.2">
      <c r="A2" s="23">
        <v>45963.629132094909</v>
      </c>
      <c r="B2" s="30">
        <v>1</v>
      </c>
      <c r="C2" s="31" t="s">
        <v>13</v>
      </c>
      <c r="D2" s="32" t="s">
        <v>14</v>
      </c>
      <c r="E2" s="33" t="s">
        <v>4</v>
      </c>
      <c r="F2" s="34" t="s">
        <v>15</v>
      </c>
      <c r="G2" s="34" t="s">
        <v>5</v>
      </c>
      <c r="H2" s="34" t="s">
        <v>6</v>
      </c>
      <c r="I2" s="34" t="s">
        <v>16</v>
      </c>
      <c r="J2" s="34" t="s">
        <v>17</v>
      </c>
      <c r="K2" s="34" t="s">
        <v>18</v>
      </c>
      <c r="L2" s="34" t="s">
        <v>19</v>
      </c>
      <c r="M2" s="34" t="s">
        <v>11</v>
      </c>
      <c r="N2" s="34" t="s">
        <v>12</v>
      </c>
      <c r="O2" s="32">
        <v>5</v>
      </c>
      <c r="P2" s="33" t="s">
        <v>20</v>
      </c>
      <c r="Q2" s="33" t="s">
        <v>21</v>
      </c>
      <c r="R2" s="35" t="s">
        <v>22</v>
      </c>
      <c r="T2" s="40"/>
      <c r="U2" s="40"/>
      <c r="V2" s="40"/>
    </row>
    <row r="3" spans="1:22" ht="53.25" customHeight="1" x14ac:dyDescent="0.2">
      <c r="A3" s="24">
        <v>45963.636398750001</v>
      </c>
      <c r="B3" s="30">
        <v>2</v>
      </c>
      <c r="C3" s="31" t="s">
        <v>23</v>
      </c>
      <c r="D3" s="32" t="s">
        <v>14</v>
      </c>
      <c r="E3" s="33" t="s">
        <v>24</v>
      </c>
      <c r="F3" s="34" t="s">
        <v>24</v>
      </c>
      <c r="G3" s="34" t="s">
        <v>25</v>
      </c>
      <c r="H3" s="34" t="s">
        <v>26</v>
      </c>
      <c r="I3" s="34" t="s">
        <v>16</v>
      </c>
      <c r="J3" s="34" t="s">
        <v>27</v>
      </c>
      <c r="K3" s="34" t="s">
        <v>18</v>
      </c>
      <c r="L3" s="34" t="s">
        <v>19</v>
      </c>
      <c r="M3" s="34" t="s">
        <v>28</v>
      </c>
      <c r="N3" s="34" t="s">
        <v>29</v>
      </c>
      <c r="O3" s="32">
        <v>3</v>
      </c>
      <c r="P3" s="33" t="s">
        <v>30</v>
      </c>
      <c r="Q3" s="36"/>
      <c r="R3" s="35" t="s">
        <v>31</v>
      </c>
      <c r="T3" s="43" t="s">
        <v>219</v>
      </c>
      <c r="U3" s="44"/>
      <c r="V3" s="45"/>
    </row>
    <row r="4" spans="1:22" ht="53.25" customHeight="1" x14ac:dyDescent="0.2">
      <c r="A4" s="23">
        <v>45963.64446865741</v>
      </c>
      <c r="B4" s="30">
        <v>3</v>
      </c>
      <c r="C4" s="31" t="s">
        <v>32</v>
      </c>
      <c r="D4" s="32" t="s">
        <v>14</v>
      </c>
      <c r="E4" s="33" t="s">
        <v>33</v>
      </c>
      <c r="F4" s="34" t="s">
        <v>3</v>
      </c>
      <c r="G4" s="34" t="s">
        <v>34</v>
      </c>
      <c r="H4" s="34" t="s">
        <v>35</v>
      </c>
      <c r="I4" s="34" t="s">
        <v>16</v>
      </c>
      <c r="J4" s="34" t="s">
        <v>17</v>
      </c>
      <c r="K4" s="34" t="s">
        <v>36</v>
      </c>
      <c r="L4" s="34" t="s">
        <v>19</v>
      </c>
      <c r="M4" s="34" t="s">
        <v>37</v>
      </c>
      <c r="N4" s="34" t="s">
        <v>38</v>
      </c>
      <c r="O4" s="32">
        <v>3</v>
      </c>
      <c r="P4" s="33" t="s">
        <v>39</v>
      </c>
      <c r="Q4" s="36"/>
      <c r="R4" s="35" t="s">
        <v>40</v>
      </c>
      <c r="T4" s="4" t="s">
        <v>220</v>
      </c>
      <c r="U4" s="4" t="s">
        <v>221</v>
      </c>
      <c r="V4" s="5" t="s">
        <v>222</v>
      </c>
    </row>
    <row r="5" spans="1:22" ht="53.25" customHeight="1" x14ac:dyDescent="0.2">
      <c r="A5" s="24">
        <v>45963.644648217596</v>
      </c>
      <c r="B5" s="30">
        <v>4</v>
      </c>
      <c r="C5" s="31" t="s">
        <v>41</v>
      </c>
      <c r="D5" s="32" t="s">
        <v>14</v>
      </c>
      <c r="E5" s="33" t="s">
        <v>24</v>
      </c>
      <c r="F5" s="34" t="s">
        <v>24</v>
      </c>
      <c r="G5" s="34" t="s">
        <v>5</v>
      </c>
      <c r="H5" s="34" t="s">
        <v>6</v>
      </c>
      <c r="I5" s="34" t="s">
        <v>16</v>
      </c>
      <c r="J5" s="34" t="s">
        <v>17</v>
      </c>
      <c r="K5" s="34" t="s">
        <v>42</v>
      </c>
      <c r="L5" s="34" t="s">
        <v>19</v>
      </c>
      <c r="M5" s="34" t="s">
        <v>28</v>
      </c>
      <c r="N5" s="34" t="s">
        <v>29</v>
      </c>
      <c r="O5" s="32">
        <v>5</v>
      </c>
      <c r="P5" s="33" t="s">
        <v>21</v>
      </c>
      <c r="Q5" s="33" t="s">
        <v>43</v>
      </c>
      <c r="R5" s="35" t="s">
        <v>44</v>
      </c>
      <c r="T5" s="9" t="s">
        <v>24</v>
      </c>
      <c r="U5" s="37">
        <f>COUNTIF('Form Responses '!$F$2:$F$33,T5)</f>
        <v>13</v>
      </c>
      <c r="V5" s="38">
        <f>U5/31</f>
        <v>0.41935483870967744</v>
      </c>
    </row>
    <row r="6" spans="1:22" ht="53.25" customHeight="1" x14ac:dyDescent="0.2">
      <c r="A6" s="23">
        <v>45963.649031875</v>
      </c>
      <c r="B6" s="30">
        <v>5</v>
      </c>
      <c r="C6" s="31" t="s">
        <v>45</v>
      </c>
      <c r="D6" s="32" t="s">
        <v>46</v>
      </c>
      <c r="E6" s="33" t="s">
        <v>47</v>
      </c>
      <c r="F6" s="34" t="s">
        <v>24</v>
      </c>
      <c r="G6" s="34" t="s">
        <v>5</v>
      </c>
      <c r="H6" s="34" t="s">
        <v>26</v>
      </c>
      <c r="I6" s="34" t="s">
        <v>16</v>
      </c>
      <c r="J6" s="34" t="s">
        <v>48</v>
      </c>
      <c r="K6" s="34" t="s">
        <v>42</v>
      </c>
      <c r="L6" s="34" t="s">
        <v>49</v>
      </c>
      <c r="M6" s="34" t="s">
        <v>28</v>
      </c>
      <c r="N6" s="34" t="s">
        <v>50</v>
      </c>
      <c r="O6" s="32">
        <v>4</v>
      </c>
      <c r="P6" s="33" t="s">
        <v>51</v>
      </c>
      <c r="Q6" s="36"/>
      <c r="R6" s="35" t="s">
        <v>52</v>
      </c>
      <c r="T6" s="10" t="s">
        <v>3</v>
      </c>
      <c r="U6" s="11">
        <f>COUNTIF('Form Responses '!$F$2:$F$33,T6)</f>
        <v>6</v>
      </c>
      <c r="V6" s="12">
        <f t="shared" ref="V6:V12" si="0">U6/31</f>
        <v>0.19354838709677419</v>
      </c>
    </row>
    <row r="7" spans="1:22" ht="53.25" customHeight="1" x14ac:dyDescent="0.2">
      <c r="A7" s="24">
        <v>45963.676704178244</v>
      </c>
      <c r="B7" s="30">
        <v>6</v>
      </c>
      <c r="C7" s="31" t="s">
        <v>53</v>
      </c>
      <c r="D7" s="32" t="s">
        <v>54</v>
      </c>
      <c r="E7" s="33" t="s">
        <v>24</v>
      </c>
      <c r="F7" s="34" t="s">
        <v>4</v>
      </c>
      <c r="G7" s="34" t="s">
        <v>55</v>
      </c>
      <c r="H7" s="34" t="s">
        <v>56</v>
      </c>
      <c r="I7" s="34" t="s">
        <v>16</v>
      </c>
      <c r="J7" s="34" t="s">
        <v>17</v>
      </c>
      <c r="K7" s="34" t="s">
        <v>18</v>
      </c>
      <c r="L7" s="34" t="s">
        <v>19</v>
      </c>
      <c r="M7" s="34" t="s">
        <v>11</v>
      </c>
      <c r="N7" s="34" t="s">
        <v>12</v>
      </c>
      <c r="O7" s="32">
        <v>4</v>
      </c>
      <c r="P7" s="33" t="s">
        <v>57</v>
      </c>
      <c r="Q7" s="36"/>
      <c r="R7" s="35" t="s">
        <v>58</v>
      </c>
      <c r="T7" s="39" t="s">
        <v>4</v>
      </c>
      <c r="U7" s="37">
        <f>COUNTIF('Form Responses '!$F$2:$F$33,T7)</f>
        <v>4</v>
      </c>
      <c r="V7" s="38">
        <f t="shared" si="0"/>
        <v>0.12903225806451613</v>
      </c>
    </row>
    <row r="8" spans="1:22" ht="53.25" customHeight="1" x14ac:dyDescent="0.2">
      <c r="A8" s="23">
        <v>45963.684898888889</v>
      </c>
      <c r="B8" s="30">
        <v>7</v>
      </c>
      <c r="C8" s="31" t="s">
        <v>59</v>
      </c>
      <c r="D8" s="32" t="s">
        <v>46</v>
      </c>
      <c r="E8" s="33" t="s">
        <v>60</v>
      </c>
      <c r="F8" s="34" t="s">
        <v>24</v>
      </c>
      <c r="G8" s="34" t="s">
        <v>61</v>
      </c>
      <c r="H8" s="34" t="s">
        <v>26</v>
      </c>
      <c r="I8" s="34" t="s">
        <v>62</v>
      </c>
      <c r="J8" s="34" t="s">
        <v>27</v>
      </c>
      <c r="K8" s="34" t="s">
        <v>42</v>
      </c>
      <c r="L8" s="34" t="s">
        <v>63</v>
      </c>
      <c r="M8" s="34" t="s">
        <v>28</v>
      </c>
      <c r="N8" s="34" t="s">
        <v>12</v>
      </c>
      <c r="O8" s="32">
        <v>3</v>
      </c>
      <c r="P8" s="33" t="s">
        <v>64</v>
      </c>
      <c r="Q8" s="36"/>
      <c r="R8" s="35" t="s">
        <v>65</v>
      </c>
      <c r="T8" s="10" t="s">
        <v>15</v>
      </c>
      <c r="U8" s="11">
        <f>COUNTIF('Form Responses '!$F$2:$F$33,T8)</f>
        <v>1</v>
      </c>
      <c r="V8" s="12">
        <f t="shared" si="0"/>
        <v>3.2258064516129031E-2</v>
      </c>
    </row>
    <row r="9" spans="1:22" ht="53.25" customHeight="1" x14ac:dyDescent="0.2">
      <c r="A9" s="24">
        <v>45963.687996550929</v>
      </c>
      <c r="B9" s="30">
        <v>8</v>
      </c>
      <c r="C9" s="31" t="s">
        <v>66</v>
      </c>
      <c r="D9" s="32" t="s">
        <v>14</v>
      </c>
      <c r="E9" s="33" t="s">
        <v>67</v>
      </c>
      <c r="F9" s="34" t="s">
        <v>24</v>
      </c>
      <c r="G9" s="34" t="s">
        <v>68</v>
      </c>
      <c r="H9" s="34" t="s">
        <v>56</v>
      </c>
      <c r="I9" s="34" t="s">
        <v>69</v>
      </c>
      <c r="J9" s="34" t="s">
        <v>17</v>
      </c>
      <c r="K9" s="34" t="s">
        <v>36</v>
      </c>
      <c r="L9" s="34" t="s">
        <v>49</v>
      </c>
      <c r="M9" s="34" t="s">
        <v>70</v>
      </c>
      <c r="N9" s="34" t="s">
        <v>29</v>
      </c>
      <c r="O9" s="32">
        <v>4</v>
      </c>
      <c r="P9" s="33" t="s">
        <v>71</v>
      </c>
      <c r="Q9" s="36"/>
      <c r="R9" s="35" t="s">
        <v>72</v>
      </c>
      <c r="T9" s="39" t="s">
        <v>183</v>
      </c>
      <c r="U9" s="37">
        <f>COUNTIF('Form Responses '!$F$2:$F$33,T9)</f>
        <v>2</v>
      </c>
      <c r="V9" s="38">
        <f t="shared" si="0"/>
        <v>6.4516129032258063E-2</v>
      </c>
    </row>
    <row r="10" spans="1:22" ht="53.25" customHeight="1" x14ac:dyDescent="0.2">
      <c r="A10" s="23">
        <v>45963.694455659723</v>
      </c>
      <c r="B10" s="30">
        <v>9</v>
      </c>
      <c r="C10" s="31" t="s">
        <v>73</v>
      </c>
      <c r="D10" s="32" t="s">
        <v>46</v>
      </c>
      <c r="E10" s="33" t="s">
        <v>3</v>
      </c>
      <c r="F10" s="34" t="s">
        <v>3</v>
      </c>
      <c r="G10" s="34" t="s">
        <v>55</v>
      </c>
      <c r="H10" s="34" t="s">
        <v>74</v>
      </c>
      <c r="I10" s="34" t="s">
        <v>75</v>
      </c>
      <c r="J10" s="34" t="s">
        <v>76</v>
      </c>
      <c r="K10" s="34" t="s">
        <v>77</v>
      </c>
      <c r="L10" s="34" t="s">
        <v>19</v>
      </c>
      <c r="M10" s="34" t="s">
        <v>78</v>
      </c>
      <c r="N10" s="34" t="s">
        <v>79</v>
      </c>
      <c r="O10" s="32">
        <v>5</v>
      </c>
      <c r="P10" s="33" t="s">
        <v>80</v>
      </c>
      <c r="Q10" s="36"/>
      <c r="R10" s="35" t="s">
        <v>81</v>
      </c>
      <c r="T10" s="10" t="s">
        <v>103</v>
      </c>
      <c r="U10" s="11">
        <f>COUNTIF('Form Responses '!$F$2:$F$33,T10)</f>
        <v>2</v>
      </c>
      <c r="V10" s="12">
        <f t="shared" si="0"/>
        <v>6.4516129032258063E-2</v>
      </c>
    </row>
    <row r="11" spans="1:22" ht="53.25" customHeight="1" x14ac:dyDescent="0.2">
      <c r="A11" s="24">
        <v>45963.695557337967</v>
      </c>
      <c r="B11" s="30">
        <v>10</v>
      </c>
      <c r="C11" s="31" t="s">
        <v>82</v>
      </c>
      <c r="D11" s="32" t="s">
        <v>14</v>
      </c>
      <c r="E11" s="33" t="s">
        <v>83</v>
      </c>
      <c r="F11" s="34" t="s">
        <v>24</v>
      </c>
      <c r="G11" s="34" t="s">
        <v>84</v>
      </c>
      <c r="H11" s="34" t="s">
        <v>85</v>
      </c>
      <c r="I11" s="34" t="s">
        <v>69</v>
      </c>
      <c r="J11" s="34" t="s">
        <v>27</v>
      </c>
      <c r="K11" s="34" t="s">
        <v>86</v>
      </c>
      <c r="L11" s="34" t="s">
        <v>10</v>
      </c>
      <c r="M11" s="34" t="s">
        <v>87</v>
      </c>
      <c r="N11" s="34" t="s">
        <v>38</v>
      </c>
      <c r="O11" s="32">
        <v>5</v>
      </c>
      <c r="P11" s="33" t="s">
        <v>88</v>
      </c>
      <c r="Q11" s="36"/>
      <c r="R11" s="35" t="s">
        <v>89</v>
      </c>
      <c r="T11" s="39" t="s">
        <v>92</v>
      </c>
      <c r="U11" s="37">
        <f>COUNTIF('Form Responses '!$F$2:$F$33,T11)</f>
        <v>1</v>
      </c>
      <c r="V11" s="38">
        <f t="shared" si="0"/>
        <v>3.2258064516129031E-2</v>
      </c>
    </row>
    <row r="12" spans="1:22" ht="53.25" customHeight="1" x14ac:dyDescent="0.2">
      <c r="A12" s="23">
        <v>45964.264687546296</v>
      </c>
      <c r="B12" s="30">
        <v>11</v>
      </c>
      <c r="C12" s="31" t="s">
        <v>90</v>
      </c>
      <c r="D12" s="32" t="s">
        <v>46</v>
      </c>
      <c r="E12" s="33" t="s">
        <v>91</v>
      </c>
      <c r="F12" s="34" t="s">
        <v>92</v>
      </c>
      <c r="G12" s="34" t="s">
        <v>25</v>
      </c>
      <c r="H12" s="34" t="s">
        <v>6</v>
      </c>
      <c r="I12" s="34" t="s">
        <v>16</v>
      </c>
      <c r="J12" s="34" t="s">
        <v>48</v>
      </c>
      <c r="K12" s="34" t="s">
        <v>93</v>
      </c>
      <c r="L12" s="34" t="s">
        <v>19</v>
      </c>
      <c r="M12" s="34" t="s">
        <v>78</v>
      </c>
      <c r="N12" s="34" t="s">
        <v>94</v>
      </c>
      <c r="O12" s="32">
        <v>2</v>
      </c>
      <c r="P12" s="33" t="s">
        <v>95</v>
      </c>
      <c r="Q12" s="33" t="s">
        <v>96</v>
      </c>
      <c r="R12" s="35" t="s">
        <v>97</v>
      </c>
      <c r="T12" s="13" t="s">
        <v>117</v>
      </c>
      <c r="U12" s="14">
        <f>COUNTIF('Form Responses '!$F$2:$F$33,T12)</f>
        <v>2</v>
      </c>
      <c r="V12" s="15">
        <f t="shared" si="0"/>
        <v>6.4516129032258063E-2</v>
      </c>
    </row>
    <row r="13" spans="1:22" ht="53.25" customHeight="1" x14ac:dyDescent="0.2">
      <c r="A13" s="24">
        <v>45964.413483298616</v>
      </c>
      <c r="B13" s="30">
        <v>12</v>
      </c>
      <c r="C13" s="31" t="s">
        <v>98</v>
      </c>
      <c r="D13" s="32" t="s">
        <v>46</v>
      </c>
      <c r="E13" s="33" t="s">
        <v>4</v>
      </c>
      <c r="F13" s="34" t="s">
        <v>4</v>
      </c>
      <c r="G13" s="34" t="s">
        <v>5</v>
      </c>
      <c r="H13" s="34" t="s">
        <v>26</v>
      </c>
      <c r="I13" s="34" t="s">
        <v>7</v>
      </c>
      <c r="J13" s="34" t="s">
        <v>8</v>
      </c>
      <c r="K13" s="34" t="s">
        <v>18</v>
      </c>
      <c r="L13" s="34" t="s">
        <v>99</v>
      </c>
      <c r="M13" s="34" t="s">
        <v>37</v>
      </c>
      <c r="N13" s="34" t="s">
        <v>12</v>
      </c>
      <c r="O13" s="32">
        <v>5</v>
      </c>
      <c r="P13" s="33" t="s">
        <v>100</v>
      </c>
      <c r="Q13" s="36"/>
      <c r="R13" s="35" t="s">
        <v>101</v>
      </c>
    </row>
    <row r="14" spans="1:22" ht="53.25" customHeight="1" x14ac:dyDescent="0.2">
      <c r="A14" s="23">
        <v>45964.690660115739</v>
      </c>
      <c r="B14" s="30">
        <v>13</v>
      </c>
      <c r="C14" s="31" t="s">
        <v>102</v>
      </c>
      <c r="D14" s="32" t="s">
        <v>46</v>
      </c>
      <c r="E14" s="33" t="s">
        <v>103</v>
      </c>
      <c r="F14" s="34" t="s">
        <v>103</v>
      </c>
      <c r="G14" s="34" t="s">
        <v>25</v>
      </c>
      <c r="H14" s="34" t="s">
        <v>104</v>
      </c>
      <c r="I14" s="34" t="s">
        <v>16</v>
      </c>
      <c r="J14" s="34" t="s">
        <v>105</v>
      </c>
      <c r="K14" s="34" t="s">
        <v>18</v>
      </c>
      <c r="L14" s="34" t="s">
        <v>49</v>
      </c>
      <c r="M14" s="34" t="s">
        <v>11</v>
      </c>
      <c r="N14" s="34" t="s">
        <v>29</v>
      </c>
      <c r="O14" s="32">
        <v>5</v>
      </c>
      <c r="P14" s="33" t="s">
        <v>106</v>
      </c>
      <c r="Q14" s="33" t="s">
        <v>107</v>
      </c>
      <c r="R14" s="35" t="s">
        <v>108</v>
      </c>
    </row>
    <row r="15" spans="1:22" ht="53.25" customHeight="1" x14ac:dyDescent="0.2">
      <c r="A15" s="24">
        <v>45964.749769421294</v>
      </c>
      <c r="B15" s="30">
        <v>14</v>
      </c>
      <c r="C15" s="31" t="s">
        <v>109</v>
      </c>
      <c r="D15" s="32" t="s">
        <v>110</v>
      </c>
      <c r="E15" s="33" t="s">
        <v>3</v>
      </c>
      <c r="F15" s="34" t="s">
        <v>3</v>
      </c>
      <c r="G15" s="34" t="s">
        <v>25</v>
      </c>
      <c r="H15" s="34" t="s">
        <v>111</v>
      </c>
      <c r="I15" s="34" t="s">
        <v>112</v>
      </c>
      <c r="J15" s="34" t="s">
        <v>27</v>
      </c>
      <c r="K15" s="34" t="s">
        <v>42</v>
      </c>
      <c r="L15" s="34" t="s">
        <v>49</v>
      </c>
      <c r="M15" s="34" t="s">
        <v>87</v>
      </c>
      <c r="N15" s="34" t="s">
        <v>50</v>
      </c>
      <c r="O15" s="32">
        <v>1</v>
      </c>
      <c r="P15" s="33" t="s">
        <v>113</v>
      </c>
      <c r="Q15" s="36"/>
      <c r="R15" s="35" t="s">
        <v>114</v>
      </c>
    </row>
    <row r="16" spans="1:22" ht="53.25" customHeight="1" x14ac:dyDescent="0.2">
      <c r="A16" s="23">
        <v>45964.756011840276</v>
      </c>
      <c r="B16" s="30">
        <v>15</v>
      </c>
      <c r="C16" s="31" t="s">
        <v>115</v>
      </c>
      <c r="D16" s="32" t="s">
        <v>110</v>
      </c>
      <c r="E16" s="33" t="s">
        <v>116</v>
      </c>
      <c r="F16" s="34" t="s">
        <v>117</v>
      </c>
      <c r="G16" s="34" t="s">
        <v>55</v>
      </c>
      <c r="H16" s="34" t="s">
        <v>56</v>
      </c>
      <c r="I16" s="34" t="s">
        <v>62</v>
      </c>
      <c r="J16" s="34" t="s">
        <v>48</v>
      </c>
      <c r="K16" s="34" t="s">
        <v>118</v>
      </c>
      <c r="L16" s="34" t="s">
        <v>119</v>
      </c>
      <c r="M16" s="34" t="s">
        <v>11</v>
      </c>
      <c r="N16" s="34" t="s">
        <v>50</v>
      </c>
      <c r="O16" s="32">
        <v>3</v>
      </c>
      <c r="P16" s="33" t="s">
        <v>120</v>
      </c>
      <c r="Q16" s="36"/>
      <c r="R16" s="35" t="s">
        <v>121</v>
      </c>
    </row>
    <row r="17" spans="1:23" ht="53.25" customHeight="1" x14ac:dyDescent="0.2">
      <c r="A17" s="24">
        <v>45964.758994490738</v>
      </c>
      <c r="B17" s="30">
        <v>16</v>
      </c>
      <c r="C17" s="31" t="s">
        <v>122</v>
      </c>
      <c r="D17" s="32" t="s">
        <v>54</v>
      </c>
      <c r="E17" s="33" t="s">
        <v>123</v>
      </c>
      <c r="F17" s="34" t="s">
        <v>24</v>
      </c>
      <c r="G17" s="34" t="s">
        <v>61</v>
      </c>
      <c r="H17" s="34" t="s">
        <v>124</v>
      </c>
      <c r="I17" s="34" t="s">
        <v>16</v>
      </c>
      <c r="J17" s="34" t="s">
        <v>8</v>
      </c>
      <c r="K17" s="34" t="s">
        <v>18</v>
      </c>
      <c r="L17" s="34" t="s">
        <v>19</v>
      </c>
      <c r="M17" s="34" t="s">
        <v>11</v>
      </c>
      <c r="N17" s="34" t="s">
        <v>38</v>
      </c>
      <c r="O17" s="32">
        <v>3</v>
      </c>
      <c r="P17" s="33" t="s">
        <v>125</v>
      </c>
      <c r="Q17" s="33" t="s">
        <v>126</v>
      </c>
      <c r="R17" s="35" t="s">
        <v>127</v>
      </c>
    </row>
    <row r="18" spans="1:23" ht="53.25" customHeight="1" x14ac:dyDescent="0.2">
      <c r="A18" s="23">
        <v>45964.761568981485</v>
      </c>
      <c r="B18" s="30">
        <v>17</v>
      </c>
      <c r="C18" s="31" t="s">
        <v>128</v>
      </c>
      <c r="D18" s="32" t="s">
        <v>14</v>
      </c>
      <c r="E18" s="33" t="s">
        <v>103</v>
      </c>
      <c r="F18" s="34" t="s">
        <v>103</v>
      </c>
      <c r="G18" s="34" t="s">
        <v>129</v>
      </c>
      <c r="H18" s="34" t="s">
        <v>56</v>
      </c>
      <c r="I18" s="34" t="s">
        <v>16</v>
      </c>
      <c r="J18" s="34" t="s">
        <v>27</v>
      </c>
      <c r="K18" s="34" t="s">
        <v>9</v>
      </c>
      <c r="L18" s="34" t="s">
        <v>19</v>
      </c>
      <c r="M18" s="34" t="s">
        <v>78</v>
      </c>
      <c r="N18" s="34" t="s">
        <v>29</v>
      </c>
      <c r="O18" s="32">
        <v>2</v>
      </c>
      <c r="P18" s="33" t="s">
        <v>130</v>
      </c>
      <c r="Q18" s="33" t="s">
        <v>131</v>
      </c>
      <c r="R18" s="35" t="s">
        <v>132</v>
      </c>
      <c r="T18" s="42" t="s">
        <v>210</v>
      </c>
      <c r="U18" s="42"/>
      <c r="V18" s="42"/>
    </row>
    <row r="19" spans="1:23" ht="53.25" customHeight="1" x14ac:dyDescent="0.2">
      <c r="A19" s="24">
        <v>45964.780780092595</v>
      </c>
      <c r="B19" s="30">
        <v>18</v>
      </c>
      <c r="C19" s="31" t="s">
        <v>133</v>
      </c>
      <c r="D19" s="32" t="s">
        <v>54</v>
      </c>
      <c r="E19" s="33" t="s">
        <v>3</v>
      </c>
      <c r="F19" s="34" t="s">
        <v>3</v>
      </c>
      <c r="G19" s="34" t="s">
        <v>129</v>
      </c>
      <c r="H19" s="34" t="s">
        <v>6</v>
      </c>
      <c r="I19" s="34" t="s">
        <v>16</v>
      </c>
      <c r="J19" s="34" t="s">
        <v>17</v>
      </c>
      <c r="K19" s="34" t="s">
        <v>18</v>
      </c>
      <c r="L19" s="34" t="s">
        <v>63</v>
      </c>
      <c r="M19" s="34" t="s">
        <v>28</v>
      </c>
      <c r="N19" s="34" t="s">
        <v>29</v>
      </c>
      <c r="O19" s="32">
        <v>2</v>
      </c>
      <c r="P19" s="33" t="s">
        <v>134</v>
      </c>
      <c r="Q19" s="36"/>
      <c r="R19" s="35" t="s">
        <v>135</v>
      </c>
      <c r="T19" s="18" t="s">
        <v>225</v>
      </c>
      <c r="U19" s="18" t="s">
        <v>224</v>
      </c>
      <c r="V19" s="18" t="s">
        <v>222</v>
      </c>
    </row>
    <row r="20" spans="1:23" ht="53.25" customHeight="1" x14ac:dyDescent="0.2">
      <c r="A20" s="23">
        <v>45964.786671898153</v>
      </c>
      <c r="B20" s="30">
        <v>19</v>
      </c>
      <c r="C20" s="31" t="s">
        <v>136</v>
      </c>
      <c r="D20" s="32" t="s">
        <v>54</v>
      </c>
      <c r="E20" s="33" t="s">
        <v>137</v>
      </c>
      <c r="F20" s="34" t="s">
        <v>3</v>
      </c>
      <c r="G20" s="34" t="s">
        <v>138</v>
      </c>
      <c r="H20" s="34" t="s">
        <v>6</v>
      </c>
      <c r="I20" s="34" t="s">
        <v>69</v>
      </c>
      <c r="J20" s="34" t="s">
        <v>8</v>
      </c>
      <c r="K20" s="34" t="s">
        <v>86</v>
      </c>
      <c r="L20" s="34" t="s">
        <v>19</v>
      </c>
      <c r="M20" s="34" t="s">
        <v>28</v>
      </c>
      <c r="N20" s="34" t="s">
        <v>12</v>
      </c>
      <c r="O20" s="32">
        <v>3</v>
      </c>
      <c r="P20" s="33" t="s">
        <v>139</v>
      </c>
      <c r="Q20" s="36"/>
      <c r="R20" s="35" t="s">
        <v>140</v>
      </c>
      <c r="T20" s="19">
        <v>1</v>
      </c>
      <c r="U20" s="19">
        <f>COUNTIF('Form Responses '!$O$2:$O$33,T20)</f>
        <v>1</v>
      </c>
      <c r="V20" s="15">
        <f>U20/32</f>
        <v>3.125E-2</v>
      </c>
    </row>
    <row r="21" spans="1:23" ht="53.25" customHeight="1" x14ac:dyDescent="0.2">
      <c r="A21" s="24">
        <v>45964.792700115737</v>
      </c>
      <c r="B21" s="30">
        <v>20</v>
      </c>
      <c r="C21" s="31" t="s">
        <v>141</v>
      </c>
      <c r="D21" s="32" t="s">
        <v>14</v>
      </c>
      <c r="E21" s="33" t="s">
        <v>24</v>
      </c>
      <c r="F21" s="34" t="s">
        <v>24</v>
      </c>
      <c r="G21" s="34" t="s">
        <v>129</v>
      </c>
      <c r="H21" s="34" t="s">
        <v>26</v>
      </c>
      <c r="I21" s="34" t="s">
        <v>16</v>
      </c>
      <c r="J21" s="34" t="s">
        <v>27</v>
      </c>
      <c r="K21" s="34" t="s">
        <v>18</v>
      </c>
      <c r="L21" s="34" t="s">
        <v>142</v>
      </c>
      <c r="M21" s="34" t="s">
        <v>28</v>
      </c>
      <c r="N21" s="34" t="s">
        <v>79</v>
      </c>
      <c r="O21" s="32">
        <v>3</v>
      </c>
      <c r="P21" s="33" t="s">
        <v>143</v>
      </c>
      <c r="Q21" s="33" t="s">
        <v>144</v>
      </c>
      <c r="R21" s="35" t="s">
        <v>145</v>
      </c>
      <c r="T21" s="20">
        <v>2</v>
      </c>
      <c r="U21" s="20">
        <f>COUNTIF('Form Responses '!$O$2:$O$33,T21)</f>
        <v>5</v>
      </c>
      <c r="V21" s="21">
        <f t="shared" ref="V21:V24" si="1">U21/32</f>
        <v>0.15625</v>
      </c>
    </row>
    <row r="22" spans="1:23" ht="53.25" customHeight="1" x14ac:dyDescent="0.2">
      <c r="A22" s="23">
        <v>45964.79407585648</v>
      </c>
      <c r="B22" s="30">
        <v>21</v>
      </c>
      <c r="C22" s="31" t="s">
        <v>146</v>
      </c>
      <c r="D22" s="32" t="s">
        <v>14</v>
      </c>
      <c r="E22" s="33" t="s">
        <v>147</v>
      </c>
      <c r="F22" s="34" t="s">
        <v>4</v>
      </c>
      <c r="G22" s="34" t="s">
        <v>61</v>
      </c>
      <c r="H22" s="34" t="s">
        <v>56</v>
      </c>
      <c r="I22" s="34" t="s">
        <v>16</v>
      </c>
      <c r="J22" s="34" t="s">
        <v>17</v>
      </c>
      <c r="K22" s="34" t="s">
        <v>18</v>
      </c>
      <c r="L22" s="34" t="s">
        <v>10</v>
      </c>
      <c r="M22" s="34" t="s">
        <v>11</v>
      </c>
      <c r="N22" s="34" t="s">
        <v>94</v>
      </c>
      <c r="O22" s="32">
        <v>3</v>
      </c>
      <c r="P22" s="33" t="s">
        <v>148</v>
      </c>
      <c r="Q22" s="33" t="s">
        <v>149</v>
      </c>
      <c r="R22" s="35" t="s">
        <v>150</v>
      </c>
      <c r="T22" s="19">
        <v>3</v>
      </c>
      <c r="U22" s="19">
        <f>COUNTIF('Form Responses '!$O$2:$O$33,T22)</f>
        <v>9</v>
      </c>
      <c r="V22" s="15">
        <f t="shared" si="1"/>
        <v>0.28125</v>
      </c>
    </row>
    <row r="23" spans="1:23" ht="53.25" customHeight="1" x14ac:dyDescent="0.2">
      <c r="A23" s="24">
        <v>45964.827078703704</v>
      </c>
      <c r="B23" s="30">
        <v>22</v>
      </c>
      <c r="C23" s="31" t="s">
        <v>151</v>
      </c>
      <c r="D23" s="32" t="s">
        <v>54</v>
      </c>
      <c r="E23" s="33" t="s">
        <v>152</v>
      </c>
      <c r="F23" s="34" t="s">
        <v>24</v>
      </c>
      <c r="G23" s="34" t="s">
        <v>84</v>
      </c>
      <c r="H23" s="34" t="s">
        <v>153</v>
      </c>
      <c r="I23" s="34" t="s">
        <v>154</v>
      </c>
      <c r="J23" s="34" t="s">
        <v>155</v>
      </c>
      <c r="K23" s="34" t="s">
        <v>42</v>
      </c>
      <c r="L23" s="34" t="s">
        <v>156</v>
      </c>
      <c r="M23" s="34" t="s">
        <v>70</v>
      </c>
      <c r="N23" s="34" t="s">
        <v>38</v>
      </c>
      <c r="O23" s="32">
        <v>4</v>
      </c>
      <c r="P23" s="33" t="s">
        <v>157</v>
      </c>
      <c r="Q23" s="36"/>
      <c r="R23" s="35" t="s">
        <v>158</v>
      </c>
      <c r="T23" s="20">
        <v>4</v>
      </c>
      <c r="U23" s="20">
        <f>COUNTIF('Form Responses '!$O$2:$O$33,T23)</f>
        <v>8</v>
      </c>
      <c r="V23" s="21">
        <f t="shared" si="1"/>
        <v>0.25</v>
      </c>
    </row>
    <row r="24" spans="1:23" ht="53.25" customHeight="1" x14ac:dyDescent="0.2">
      <c r="A24" s="23">
        <v>45964.923061759255</v>
      </c>
      <c r="B24" s="30">
        <v>23</v>
      </c>
      <c r="C24" s="31" t="s">
        <v>159</v>
      </c>
      <c r="D24" s="32" t="s">
        <v>2</v>
      </c>
      <c r="E24" s="33" t="s">
        <v>24</v>
      </c>
      <c r="F24" s="34" t="s">
        <v>24</v>
      </c>
      <c r="G24" s="34" t="s">
        <v>5</v>
      </c>
      <c r="H24" s="34" t="s">
        <v>26</v>
      </c>
      <c r="I24" s="34" t="s">
        <v>16</v>
      </c>
      <c r="J24" s="34" t="s">
        <v>17</v>
      </c>
      <c r="K24" s="34" t="s">
        <v>160</v>
      </c>
      <c r="L24" s="34" t="s">
        <v>19</v>
      </c>
      <c r="M24" s="34" t="s">
        <v>28</v>
      </c>
      <c r="N24" s="34" t="s">
        <v>29</v>
      </c>
      <c r="O24" s="32">
        <v>5</v>
      </c>
      <c r="P24" s="33" t="s">
        <v>161</v>
      </c>
      <c r="Q24" s="36"/>
      <c r="R24" s="35" t="s">
        <v>162</v>
      </c>
      <c r="T24" s="19">
        <v>5</v>
      </c>
      <c r="U24" s="19">
        <f>COUNTIF('Form Responses '!$O$2:$O$33,T24)</f>
        <v>9</v>
      </c>
      <c r="V24" s="15">
        <f t="shared" si="1"/>
        <v>0.28125</v>
      </c>
    </row>
    <row r="25" spans="1:23" ht="53.25" customHeight="1" x14ac:dyDescent="0.2">
      <c r="A25" s="24">
        <v>45965.781236331022</v>
      </c>
      <c r="B25" s="30">
        <v>24</v>
      </c>
      <c r="C25" s="31" t="s">
        <v>163</v>
      </c>
      <c r="D25" s="32" t="s">
        <v>46</v>
      </c>
      <c r="E25" s="33" t="s">
        <v>164</v>
      </c>
      <c r="F25" s="34" t="s">
        <v>24</v>
      </c>
      <c r="G25" s="34" t="s">
        <v>5</v>
      </c>
      <c r="H25" s="34" t="s">
        <v>35</v>
      </c>
      <c r="I25" s="34" t="s">
        <v>16</v>
      </c>
      <c r="J25" s="34" t="s">
        <v>8</v>
      </c>
      <c r="K25" s="34" t="s">
        <v>42</v>
      </c>
      <c r="L25" s="34" t="s">
        <v>10</v>
      </c>
      <c r="M25" s="34" t="s">
        <v>87</v>
      </c>
      <c r="N25" s="34" t="s">
        <v>38</v>
      </c>
      <c r="O25" s="32">
        <v>5</v>
      </c>
      <c r="P25" s="33" t="s">
        <v>165</v>
      </c>
      <c r="Q25" s="36"/>
      <c r="R25" s="35" t="s">
        <v>166</v>
      </c>
    </row>
    <row r="26" spans="1:23" ht="53.25" customHeight="1" x14ac:dyDescent="0.2">
      <c r="A26" s="23">
        <v>45965.785445046291</v>
      </c>
      <c r="B26" s="30">
        <v>25</v>
      </c>
      <c r="C26" s="31" t="s">
        <v>167</v>
      </c>
      <c r="D26" s="32" t="s">
        <v>14</v>
      </c>
      <c r="E26" s="33" t="s">
        <v>24</v>
      </c>
      <c r="F26" s="34" t="s">
        <v>24</v>
      </c>
      <c r="G26" s="34" t="s">
        <v>25</v>
      </c>
      <c r="H26" s="34" t="s">
        <v>56</v>
      </c>
      <c r="I26" s="34" t="s">
        <v>168</v>
      </c>
      <c r="J26" s="34" t="s">
        <v>8</v>
      </c>
      <c r="K26" s="34" t="s">
        <v>9</v>
      </c>
      <c r="L26" s="34" t="s">
        <v>63</v>
      </c>
      <c r="M26" s="34" t="s">
        <v>11</v>
      </c>
      <c r="N26" s="34" t="s">
        <v>79</v>
      </c>
      <c r="O26" s="32">
        <v>4</v>
      </c>
      <c r="P26" s="33" t="s">
        <v>169</v>
      </c>
      <c r="Q26" s="33" t="s">
        <v>21</v>
      </c>
      <c r="R26" s="35" t="s">
        <v>170</v>
      </c>
    </row>
    <row r="27" spans="1:23" ht="53.25" customHeight="1" x14ac:dyDescent="0.2">
      <c r="A27" s="24">
        <v>45965.941607303241</v>
      </c>
      <c r="B27" s="30">
        <v>26</v>
      </c>
      <c r="C27" s="31" t="s">
        <v>171</v>
      </c>
      <c r="D27" s="32" t="s">
        <v>46</v>
      </c>
      <c r="E27" s="33" t="s">
        <v>172</v>
      </c>
      <c r="F27" s="34" t="s">
        <v>24</v>
      </c>
      <c r="G27" s="34" t="s">
        <v>173</v>
      </c>
      <c r="H27" s="34" t="s">
        <v>174</v>
      </c>
      <c r="I27" s="34" t="s">
        <v>69</v>
      </c>
      <c r="J27" s="34" t="s">
        <v>48</v>
      </c>
      <c r="K27" s="34" t="s">
        <v>18</v>
      </c>
      <c r="L27" s="34" t="s">
        <v>49</v>
      </c>
      <c r="M27" s="34" t="s">
        <v>70</v>
      </c>
      <c r="N27" s="34" t="s">
        <v>38</v>
      </c>
      <c r="O27" s="32">
        <v>4</v>
      </c>
      <c r="P27" s="33" t="s">
        <v>175</v>
      </c>
      <c r="Q27" s="33" t="s">
        <v>176</v>
      </c>
      <c r="R27" s="35" t="s">
        <v>177</v>
      </c>
    </row>
    <row r="28" spans="1:23" ht="53.25" customHeight="1" x14ac:dyDescent="0.2">
      <c r="A28" s="23">
        <v>45965.943478703703</v>
      </c>
      <c r="B28" s="30">
        <v>27</v>
      </c>
      <c r="C28" s="31" t="s">
        <v>178</v>
      </c>
      <c r="D28" s="32" t="s">
        <v>46</v>
      </c>
      <c r="E28" s="33" t="s">
        <v>179</v>
      </c>
      <c r="F28" s="34" t="s">
        <v>3</v>
      </c>
      <c r="G28" s="34" t="s">
        <v>138</v>
      </c>
      <c r="H28" s="34" t="s">
        <v>26</v>
      </c>
      <c r="I28" s="34" t="s">
        <v>69</v>
      </c>
      <c r="J28" s="34" t="s">
        <v>105</v>
      </c>
      <c r="K28" s="34" t="s">
        <v>18</v>
      </c>
      <c r="L28" s="34" t="s">
        <v>49</v>
      </c>
      <c r="M28" s="34" t="s">
        <v>28</v>
      </c>
      <c r="N28" s="34" t="s">
        <v>38</v>
      </c>
      <c r="O28" s="32">
        <v>2</v>
      </c>
      <c r="P28" s="33" t="s">
        <v>180</v>
      </c>
      <c r="Q28" s="33" t="s">
        <v>21</v>
      </c>
      <c r="R28" s="35" t="s">
        <v>181</v>
      </c>
    </row>
    <row r="29" spans="1:23" ht="53.25" customHeight="1" x14ac:dyDescent="0.2">
      <c r="A29" s="24">
        <v>45965.953329456017</v>
      </c>
      <c r="B29" s="30">
        <v>28</v>
      </c>
      <c r="C29" s="31" t="s">
        <v>182</v>
      </c>
      <c r="D29" s="32" t="s">
        <v>110</v>
      </c>
      <c r="E29" s="33" t="s">
        <v>60</v>
      </c>
      <c r="F29" s="34" t="s">
        <v>183</v>
      </c>
      <c r="G29" s="34" t="s">
        <v>34</v>
      </c>
      <c r="H29" s="34" t="s">
        <v>6</v>
      </c>
      <c r="I29" s="34" t="s">
        <v>184</v>
      </c>
      <c r="J29" s="34" t="s">
        <v>17</v>
      </c>
      <c r="K29" s="34" t="s">
        <v>42</v>
      </c>
      <c r="L29" s="34" t="s">
        <v>49</v>
      </c>
      <c r="M29" s="34" t="s">
        <v>70</v>
      </c>
      <c r="N29" s="34" t="s">
        <v>29</v>
      </c>
      <c r="O29" s="32">
        <v>4</v>
      </c>
      <c r="P29" s="33" t="s">
        <v>185</v>
      </c>
      <c r="Q29" s="36"/>
      <c r="R29" s="35" t="s">
        <v>186</v>
      </c>
    </row>
    <row r="30" spans="1:23" ht="53.25" customHeight="1" x14ac:dyDescent="0.2">
      <c r="A30" s="23">
        <v>45965.953672430551</v>
      </c>
      <c r="B30" s="30">
        <v>29</v>
      </c>
      <c r="C30" s="31" t="s">
        <v>187</v>
      </c>
      <c r="D30" s="32" t="s">
        <v>54</v>
      </c>
      <c r="E30" s="33" t="s">
        <v>188</v>
      </c>
      <c r="F30" s="34" t="s">
        <v>189</v>
      </c>
      <c r="G30" s="34" t="s">
        <v>129</v>
      </c>
      <c r="H30" s="34" t="s">
        <v>190</v>
      </c>
      <c r="I30" s="34" t="s">
        <v>16</v>
      </c>
      <c r="J30" s="34" t="s">
        <v>17</v>
      </c>
      <c r="K30" s="34" t="s">
        <v>18</v>
      </c>
      <c r="L30" s="34" t="s">
        <v>10</v>
      </c>
      <c r="M30" s="34" t="s">
        <v>78</v>
      </c>
      <c r="N30" s="34" t="s">
        <v>94</v>
      </c>
      <c r="O30" s="32">
        <v>2</v>
      </c>
      <c r="P30" s="33" t="s">
        <v>191</v>
      </c>
      <c r="Q30" s="33" t="s">
        <v>192</v>
      </c>
      <c r="R30" s="35" t="s">
        <v>193</v>
      </c>
      <c r="T30" s="6"/>
    </row>
    <row r="31" spans="1:23" ht="53.25" customHeight="1" x14ac:dyDescent="0.2">
      <c r="A31" s="24">
        <v>45966.566992187501</v>
      </c>
      <c r="B31" s="30">
        <v>30</v>
      </c>
      <c r="C31" s="31" t="s">
        <v>194</v>
      </c>
      <c r="D31" s="32" t="s">
        <v>2</v>
      </c>
      <c r="E31" s="33" t="s">
        <v>92</v>
      </c>
      <c r="F31" s="34" t="s">
        <v>4</v>
      </c>
      <c r="G31" s="34" t="s">
        <v>55</v>
      </c>
      <c r="H31" s="34" t="s">
        <v>26</v>
      </c>
      <c r="I31" s="34" t="s">
        <v>16</v>
      </c>
      <c r="J31" s="34" t="s">
        <v>27</v>
      </c>
      <c r="K31" s="34" t="s">
        <v>18</v>
      </c>
      <c r="L31" s="34" t="s">
        <v>19</v>
      </c>
      <c r="M31" s="34" t="s">
        <v>11</v>
      </c>
      <c r="N31" s="34" t="s">
        <v>12</v>
      </c>
      <c r="O31" s="32">
        <v>5</v>
      </c>
      <c r="P31" s="33" t="s">
        <v>195</v>
      </c>
      <c r="Q31" s="33" t="s">
        <v>196</v>
      </c>
      <c r="R31" s="35" t="s">
        <v>197</v>
      </c>
    </row>
    <row r="32" spans="1:23" ht="53.25" customHeight="1" x14ac:dyDescent="0.2">
      <c r="A32" s="23">
        <v>45966.583140405091</v>
      </c>
      <c r="B32" s="30">
        <v>31</v>
      </c>
      <c r="C32" s="31" t="s">
        <v>198</v>
      </c>
      <c r="D32" s="32" t="s">
        <v>14</v>
      </c>
      <c r="E32" s="33" t="s">
        <v>199</v>
      </c>
      <c r="F32" s="34" t="s">
        <v>183</v>
      </c>
      <c r="G32" s="34" t="s">
        <v>200</v>
      </c>
      <c r="H32" s="34" t="s">
        <v>35</v>
      </c>
      <c r="I32" s="34" t="s">
        <v>201</v>
      </c>
      <c r="J32" s="34" t="s">
        <v>202</v>
      </c>
      <c r="K32" s="34" t="s">
        <v>203</v>
      </c>
      <c r="L32" s="34" t="s">
        <v>99</v>
      </c>
      <c r="M32" s="34" t="s">
        <v>37</v>
      </c>
      <c r="N32" s="34" t="s">
        <v>50</v>
      </c>
      <c r="O32" s="32">
        <v>4</v>
      </c>
      <c r="P32" s="33" t="s">
        <v>204</v>
      </c>
      <c r="Q32" s="33" t="s">
        <v>205</v>
      </c>
      <c r="R32" s="35" t="s">
        <v>206</v>
      </c>
      <c r="T32" s="42" t="s">
        <v>232</v>
      </c>
      <c r="U32" s="42"/>
      <c r="V32" s="42"/>
      <c r="W32" s="42"/>
    </row>
    <row r="33" spans="1:23" ht="60.4" customHeight="1" x14ac:dyDescent="0.2">
      <c r="A33" s="25">
        <v>45966.586116145831</v>
      </c>
      <c r="B33" s="30">
        <v>32</v>
      </c>
      <c r="C33" s="31" t="s">
        <v>207</v>
      </c>
      <c r="D33" s="32" t="s">
        <v>46</v>
      </c>
      <c r="E33" s="33" t="s">
        <v>117</v>
      </c>
      <c r="F33" s="34" t="s">
        <v>117</v>
      </c>
      <c r="G33" s="34" t="s">
        <v>34</v>
      </c>
      <c r="H33" s="34" t="s">
        <v>56</v>
      </c>
      <c r="I33" s="34" t="s">
        <v>7</v>
      </c>
      <c r="J33" s="34" t="s">
        <v>8</v>
      </c>
      <c r="K33" s="34" t="s">
        <v>42</v>
      </c>
      <c r="L33" s="34" t="s">
        <v>63</v>
      </c>
      <c r="M33" s="34" t="s">
        <v>37</v>
      </c>
      <c r="N33" s="34" t="s">
        <v>29</v>
      </c>
      <c r="O33" s="32">
        <v>3</v>
      </c>
      <c r="P33" s="33" t="s">
        <v>208</v>
      </c>
      <c r="Q33" s="36"/>
      <c r="R33" s="35" t="s">
        <v>209</v>
      </c>
      <c r="T33" s="18" t="s">
        <v>232</v>
      </c>
      <c r="U33" s="18" t="s">
        <v>233</v>
      </c>
      <c r="V33" s="18" t="s">
        <v>224</v>
      </c>
      <c r="W33" s="18" t="s">
        <v>222</v>
      </c>
    </row>
    <row r="34" spans="1:23" ht="60.4" customHeight="1" x14ac:dyDescent="0.2">
      <c r="T34" s="19" t="s">
        <v>2</v>
      </c>
      <c r="U34" s="19" t="s">
        <v>234</v>
      </c>
      <c r="V34" s="19">
        <f>COUNTIF(D1:D33,T34)</f>
        <v>2</v>
      </c>
      <c r="W34" s="41">
        <f>V34/32</f>
        <v>6.25E-2</v>
      </c>
    </row>
    <row r="35" spans="1:23" ht="60.4" customHeight="1" x14ac:dyDescent="0.2">
      <c r="T35" s="20" t="s">
        <v>14</v>
      </c>
      <c r="U35" s="20" t="s">
        <v>235</v>
      </c>
      <c r="V35" s="20">
        <f t="shared" ref="V35:V43" si="2">COUNTIF(D2:D34,T35)</f>
        <v>11</v>
      </c>
      <c r="W35" s="41">
        <f t="shared" ref="W35:W43" si="3">V35/32</f>
        <v>0.34375</v>
      </c>
    </row>
    <row r="36" spans="1:23" ht="60.4" customHeight="1" x14ac:dyDescent="0.2">
      <c r="C36" s="26"/>
      <c r="T36" s="19" t="s">
        <v>46</v>
      </c>
      <c r="U36" s="19" t="s">
        <v>236</v>
      </c>
      <c r="V36" s="19">
        <f t="shared" si="2"/>
        <v>10</v>
      </c>
      <c r="W36" s="41">
        <f t="shared" si="3"/>
        <v>0.3125</v>
      </c>
    </row>
    <row r="37" spans="1:23" ht="60.4" customHeight="1" x14ac:dyDescent="0.2">
      <c r="C37" s="26"/>
      <c r="T37" s="20" t="s">
        <v>54</v>
      </c>
      <c r="U37" s="20" t="s">
        <v>237</v>
      </c>
      <c r="V37" s="20">
        <f t="shared" si="2"/>
        <v>6</v>
      </c>
      <c r="W37" s="41">
        <f t="shared" si="3"/>
        <v>0.1875</v>
      </c>
    </row>
    <row r="38" spans="1:23" ht="60.4" customHeight="1" x14ac:dyDescent="0.2">
      <c r="C38" s="26"/>
      <c r="T38" s="19" t="s">
        <v>110</v>
      </c>
      <c r="U38" s="19" t="s">
        <v>238</v>
      </c>
      <c r="V38" s="19">
        <f t="shared" si="2"/>
        <v>3</v>
      </c>
      <c r="W38" s="41">
        <f t="shared" si="3"/>
        <v>9.375E-2</v>
      </c>
    </row>
    <row r="39" spans="1:23" ht="60.4" customHeight="1" x14ac:dyDescent="0.2">
      <c r="C39" s="26"/>
      <c r="T39" s="20" t="s">
        <v>227</v>
      </c>
      <c r="U39" s="20" t="s">
        <v>239</v>
      </c>
      <c r="V39" s="20">
        <f t="shared" si="2"/>
        <v>0</v>
      </c>
      <c r="W39" s="41">
        <f t="shared" si="3"/>
        <v>0</v>
      </c>
    </row>
    <row r="40" spans="1:23" ht="60.4" customHeight="1" x14ac:dyDescent="0.2">
      <c r="C40" s="26"/>
      <c r="T40" s="19" t="s">
        <v>228</v>
      </c>
      <c r="U40" s="19" t="s">
        <v>240</v>
      </c>
      <c r="V40" s="19">
        <f t="shared" si="2"/>
        <v>0</v>
      </c>
      <c r="W40" s="41">
        <f t="shared" si="3"/>
        <v>0</v>
      </c>
    </row>
    <row r="41" spans="1:23" ht="60.6" customHeight="1" x14ac:dyDescent="0.2">
      <c r="C41" s="26"/>
      <c r="T41" s="20" t="s">
        <v>229</v>
      </c>
      <c r="U41" s="20" t="s">
        <v>241</v>
      </c>
      <c r="V41" s="20">
        <f t="shared" si="2"/>
        <v>0</v>
      </c>
      <c r="W41" s="41">
        <f t="shared" si="3"/>
        <v>0</v>
      </c>
    </row>
    <row r="42" spans="1:23" ht="60.6" customHeight="1" x14ac:dyDescent="0.2">
      <c r="C42" s="26"/>
      <c r="T42" s="19" t="s">
        <v>230</v>
      </c>
      <c r="U42" s="19" t="s">
        <v>242</v>
      </c>
      <c r="V42" s="19">
        <f t="shared" si="2"/>
        <v>0</v>
      </c>
      <c r="W42" s="41">
        <f t="shared" si="3"/>
        <v>0</v>
      </c>
    </row>
    <row r="43" spans="1:23" ht="60.6" customHeight="1" x14ac:dyDescent="0.2">
      <c r="C43" s="26"/>
      <c r="T43" s="20" t="s">
        <v>231</v>
      </c>
      <c r="U43" s="20" t="s">
        <v>243</v>
      </c>
      <c r="V43" s="20">
        <f t="shared" si="2"/>
        <v>0</v>
      </c>
      <c r="W43" s="41">
        <f t="shared" si="3"/>
        <v>0</v>
      </c>
    </row>
  </sheetData>
  <mergeCells count="3">
    <mergeCell ref="T18:V18"/>
    <mergeCell ref="T32:W32"/>
    <mergeCell ref="T3:V3"/>
  </mergeCells>
  <pageMargins left="0.7" right="0.7" top="0.75" bottom="0.75" header="0.3" footer="0.3"/>
  <pageSetup orientation="portrait" horizontalDpi="4294967295" verticalDpi="4294967295" r:id="rId1"/>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Fadi</cp:lastModifiedBy>
  <dcterms:modified xsi:type="dcterms:W3CDTF">2025-11-06T04:57:17Z</dcterms:modified>
</cp:coreProperties>
</file>